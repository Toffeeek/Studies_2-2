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pEx" sheetId="1" state="visible" r:id="rId3"/>
    <sheet name="Development Expense" sheetId="2" state="visible" r:id="rId4"/>
    <sheet name="Overall Resul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<sst xmlns="http://schemas.openxmlformats.org/spreadsheetml/2006/main" count="351" uniqueCount="329">
  <si>
    <t xml:space="preserve">Optimistic</t>
  </si>
  <si>
    <t xml:space="preserve">Most Likely</t>
  </si>
  <si>
    <t xml:space="preserve">Pessimistic</t>
  </si>
  <si>
    <t xml:space="preserve">Estimate</t>
  </si>
  <si>
    <t xml:space="preserve">Requirement Analysis</t>
  </si>
  <si>
    <t xml:space="preserve">Area</t>
  </si>
  <si>
    <t xml:space="preserve">Details</t>
  </si>
  <si>
    <t xml:space="preserve">Business requirement</t>
  </si>
  <si>
    <t xml:space="preserve">Manage chicken, cattle, dairy, fish</t>
  </si>
  <si>
    <t xml:space="preserve">User requirement</t>
  </si>
  <si>
    <t xml:space="preserve">Farm manager, vet, accountant, store officer</t>
  </si>
  <si>
    <t xml:space="preserve">Functional requirement</t>
  </si>
  <si>
    <t xml:space="preserve">Feed entry, milk record, vaccination, fish harvest</t>
  </si>
  <si>
    <t xml:space="preserve">Reporting requirement</t>
  </si>
  <si>
    <t xml:space="preserve">Profit/loss, mortality, production, inventory</t>
  </si>
  <si>
    <t xml:space="preserve">Compliance requirement</t>
  </si>
  <si>
    <t xml:space="preserve">Health, biosecurity, audit trail</t>
  </si>
  <si>
    <t xml:space="preserve">Feasibility Study</t>
  </si>
  <si>
    <t xml:space="preserve">Feasibility</t>
  </si>
  <si>
    <t xml:space="preserve">Meaning</t>
  </si>
  <si>
    <t xml:space="preserve">Technical</t>
  </si>
  <si>
    <t xml:space="preserve">Can the system be built with available technology?</t>
  </si>
  <si>
    <t xml:space="preserve">Can farm staff use it easily?</t>
  </si>
  <si>
    <t xml:space="preserve">Financial</t>
  </si>
  <si>
    <t xml:space="preserve">Is the cost justified by business benefit?</t>
  </si>
  <si>
    <t xml:space="preserve">Schedule</t>
  </si>
  <si>
    <t xml:space="preserve">Can it be completed within target time?</t>
  </si>
  <si>
    <t xml:space="preserve">Legal/compliance</t>
  </si>
  <si>
    <t xml:space="preserve">Does it follow local rules and audit needs?</t>
  </si>
  <si>
    <t xml:space="preserve">System Design</t>
  </si>
  <si>
    <t xml:space="preserve">Design Component</t>
  </si>
  <si>
    <t xml:space="preserve">Example</t>
  </si>
  <si>
    <t xml:space="preserve">Architecture</t>
  </si>
  <si>
    <t xml:space="preserve">Web app, mobile app, cloud/server, failover</t>
  </si>
  <si>
    <t xml:space="preserve">Database design</t>
  </si>
  <si>
    <t xml:space="preserve">Animal, flock, pond, feed, sales tables</t>
  </si>
  <si>
    <t xml:space="preserve">UI/UX design</t>
  </si>
  <si>
    <t xml:space="preserve">Simple forms for daily farm entry</t>
  </si>
  <si>
    <t xml:space="preserve">Workflow design</t>
  </si>
  <si>
    <t xml:space="preserve">Purchase → stock receive → feed issue</t>
  </si>
  <si>
    <t xml:space="preserve">API Design</t>
  </si>
  <si>
    <t xml:space="preserve">Security design</t>
  </si>
  <si>
    <t xml:space="preserve">Role-based access control</t>
  </si>
  <si>
    <t xml:space="preserve">Integration design</t>
  </si>
  <si>
    <t xml:space="preserve">SMS, accounting, payment, IoT sensors</t>
  </si>
  <si>
    <t xml:space="preserve">Development / Coding</t>
  </si>
  <si>
    <t xml:space="preserve">Development Environment Rreadiness </t>
  </si>
  <si>
    <t xml:space="preserve">Development</t>
  </si>
  <si>
    <t xml:space="preserve">Testing</t>
  </si>
  <si>
    <t xml:space="preserve">Testing Type</t>
  </si>
  <si>
    <t xml:space="preserve">Purpose</t>
  </si>
  <si>
    <t xml:space="preserve">Test Environment Readiness </t>
  </si>
  <si>
    <t xml:space="preserve">Unit testing</t>
  </si>
  <si>
    <t xml:space="preserve">Test each function separately</t>
  </si>
  <si>
    <t xml:space="preserve">Integration testing</t>
  </si>
  <si>
    <t xml:space="preserve">Check modules working together</t>
  </si>
  <si>
    <t xml:space="preserve">System testing</t>
  </si>
  <si>
    <t xml:space="preserve">Test full system end-to-end</t>
  </si>
  <si>
    <t xml:space="preserve">UAT</t>
  </si>
  <si>
    <t xml:space="preserve">User Acceptance Testing by farm users</t>
  </si>
  <si>
    <t xml:space="preserve">Security testing</t>
  </si>
  <si>
    <t xml:space="preserve">Check login, access control, data protection</t>
  </si>
  <si>
    <t xml:space="preserve">Performance testing</t>
  </si>
  <si>
    <t xml:space="preserve">Check speed with many records</t>
  </si>
  <si>
    <t xml:space="preserve">Training and Transition</t>
  </si>
  <si>
    <t xml:space="preserve">Familiarizing rural workers with handling digital systems efficiently  </t>
  </si>
  <si>
    <t xml:space="preserve">Deployment / Implementation</t>
  </si>
  <si>
    <t xml:space="preserve">Step</t>
  </si>
  <si>
    <t xml:space="preserve">Server/cloud setup</t>
  </si>
  <si>
    <t xml:space="preserve">Data migration</t>
  </si>
  <si>
    <t xml:space="preserve">Existing animal, stock, customer data</t>
  </si>
  <si>
    <t xml:space="preserve">User training</t>
  </si>
  <si>
    <t xml:space="preserve">Farm manager, store officer, accountant</t>
  </si>
  <si>
    <t xml:space="preserve">Pilot run</t>
  </si>
  <si>
    <t xml:space="preserve">Start with one farm/unit first</t>
  </si>
  <si>
    <t xml:space="preserve">Go-live</t>
  </si>
  <si>
    <t xml:space="preserve">Full system launch</t>
  </si>
  <si>
    <t xml:space="preserve">Mandays Rate</t>
  </si>
  <si>
    <t xml:space="preserve">5% Contengency</t>
  </si>
  <si>
    <t xml:space="preserve">Module</t>
  </si>
  <si>
    <t xml:space="preserve">Features and Functions</t>
  </si>
  <si>
    <t xml:space="preserve">Description</t>
  </si>
  <si>
    <t xml:space="preserve">Master Data Setup </t>
  </si>
  <si>
    <t xml:space="preserve">Farm profile</t>
  </si>
  <si>
    <t xml:space="preserve">Farm name, location, owner, branches</t>
  </si>
  <si>
    <t xml:space="preserve">Shed/pond/barn setup</t>
  </si>
  <si>
    <t xml:space="preserve">Poultry shed, cattle barn, dairy unit, fish pond</t>
  </si>
  <si>
    <t xml:space="preserve">Breed setup</t>
  </si>
  <si>
    <t xml:space="preserve">Broiler, layer, cow breed, fish species</t>
  </si>
  <si>
    <t xml:space="preserve">Employee setup</t>
  </si>
  <si>
    <t xml:space="preserve">Farm manager, vet, feeding staff, workers</t>
  </si>
  <si>
    <t xml:space="preserve">Supplier/customer setup</t>
  </si>
  <si>
    <t xml:space="preserve">Feed supplier, medicine supplier, milk buyer, fish buyer</t>
  </si>
  <si>
    <t xml:space="preserve">Livestock / Stock Management</t>
  </si>
  <si>
    <t xml:space="preserve">Flock registration</t>
  </si>
  <si>
    <t xml:space="preserve">Batch number, breed, arrival date, quantity</t>
  </si>
  <si>
    <t xml:space="preserve">Mortality tracking</t>
  </si>
  <si>
    <t xml:space="preserve">Daily death count and reason</t>
  </si>
  <si>
    <t xml:space="preserve">Feed consumption</t>
  </si>
  <si>
    <t xml:space="preserve">Feed type, quantity, cost</t>
  </si>
  <si>
    <t xml:space="preserve">Vaccination schedule</t>
  </si>
  <si>
    <t xml:space="preserve">Vaccine name, date, dosage</t>
  </si>
  <si>
    <t xml:space="preserve">Egg production</t>
  </si>
  <si>
    <t xml:space="preserve">Daily egg count, broken eggs, saleable eggs</t>
  </si>
  <si>
    <t xml:space="preserve">Weight monitoring</t>
  </si>
  <si>
    <t xml:space="preserve">Average bird weight by age</t>
  </si>
  <si>
    <t xml:space="preserve">Sales tracking</t>
  </si>
  <si>
    <t xml:space="preserve">Bird sale, egg sale, batch closing</t>
  </si>
  <si>
    <t xml:space="preserve">Cattle Management</t>
  </si>
  <si>
    <t xml:space="preserve">Animal registration</t>
  </si>
  <si>
    <t xml:space="preserve">Tag number, breed, age, sex, purchase date</t>
  </si>
  <si>
    <t xml:space="preserve">Weight tracking</t>
  </si>
  <si>
    <t xml:space="preserve">Regular weight record</t>
  </si>
  <si>
    <t xml:space="preserve">Feed plan</t>
  </si>
  <si>
    <t xml:space="preserve">Dry feed, green grass, concentrate</t>
  </si>
  <si>
    <t xml:space="preserve">Health record</t>
  </si>
  <si>
    <t xml:space="preserve">Disease, treatment, medicine</t>
  </si>
  <si>
    <t xml:space="preserve">Vaccination/deworming</t>
  </si>
  <si>
    <t xml:space="preserve">Schedule and history</t>
  </si>
  <si>
    <t xml:space="preserve">Breeding record</t>
  </si>
  <si>
    <t xml:space="preserve">Heat, insemination, pregnancy check</t>
  </si>
  <si>
    <t xml:space="preserve">Sale/purchase record</t>
  </si>
  <si>
    <t xml:space="preserve">Animal buying and selling</t>
  </si>
  <si>
    <t xml:space="preserve">Dairy Management</t>
  </si>
  <si>
    <t xml:space="preserve">Lactation tracking</t>
  </si>
  <si>
    <t xml:space="preserve">Cow-wise lactation cycle</t>
  </si>
  <si>
    <t xml:space="preserve">Milk production</t>
  </si>
  <si>
    <t xml:space="preserve">Morning/evening milk record</t>
  </si>
  <si>
    <t xml:space="preserve">Milk quality</t>
  </si>
  <si>
    <t xml:space="preserve">Fat %, SNF, rejected milk</t>
  </si>
  <si>
    <t xml:space="preserve">Calving record</t>
  </si>
  <si>
    <t xml:space="preserve">Birth date, calf details</t>
  </si>
  <si>
    <t xml:space="preserve">Breeding management</t>
  </si>
  <si>
    <t xml:space="preserve">AI/service date, pregnancy status</t>
  </si>
  <si>
    <t xml:space="preserve">Feed vs milk analysis</t>
  </si>
  <si>
    <t xml:space="preserve">Cost of feed compared with milk output</t>
  </si>
  <si>
    <t xml:space="preserve">Milk sales</t>
  </si>
  <si>
    <t xml:space="preserve">Customer-wise milk delivery and billing</t>
  </si>
  <si>
    <t xml:space="preserve">Fish/ Aquaculture Management</t>
  </si>
  <si>
    <t xml:space="preserve">Pond registration</t>
  </si>
  <si>
    <t xml:space="preserve">Pond size, water capacity, location</t>
  </si>
  <si>
    <t xml:space="preserve">Fish stocking</t>
  </si>
  <si>
    <t xml:space="preserve">Species, quantity, stocking date</t>
  </si>
  <si>
    <t xml:space="preserve">Feed management</t>
  </si>
  <si>
    <t xml:space="preserve">Feed type, quantity, feeding schedule</t>
  </si>
  <si>
    <t xml:space="preserve">Water quality</t>
  </si>
  <si>
    <t xml:space="preserve">pH, oxygen, temperature, ammonia</t>
  </si>
  <si>
    <t xml:space="preserve">Dead fish count and reason</t>
  </si>
  <si>
    <t xml:space="preserve">Growth monitoring</t>
  </si>
  <si>
    <t xml:space="preserve">Sampling weight, average size</t>
  </si>
  <si>
    <t xml:space="preserve">Harvesting</t>
  </si>
  <si>
    <t xml:space="preserve">Partial/full harvest record</t>
  </si>
  <si>
    <t xml:space="preserve">Fish sales</t>
  </si>
  <si>
    <t xml:space="preserve">Buyer, quantity, rate, revenue</t>
  </si>
  <si>
    <t xml:space="preserve">Feed Management</t>
  </si>
  <si>
    <t xml:space="preserve">Feed purchase</t>
  </si>
  <si>
    <t xml:space="preserve">Supplier, quantity, rate</t>
  </si>
  <si>
    <t xml:space="preserve">Feed stock</t>
  </si>
  <si>
    <t xml:space="preserve">Opening, received, issued, balance</t>
  </si>
  <si>
    <t xml:space="preserve">Feed formulation</t>
  </si>
  <si>
    <t xml:space="preserve">Mix ingredients for poultry/cattle/fish</t>
  </si>
  <si>
    <t xml:space="preserve">Feed issue</t>
  </si>
  <si>
    <t xml:space="preserve">Shed-wise, animal-wise, pond-wise</t>
  </si>
  <si>
    <t xml:space="preserve">Feed conversion ratio</t>
  </si>
  <si>
    <t xml:space="preserve">FCR for poultry and fish</t>
  </si>
  <si>
    <t xml:space="preserve">Feed cost analysis</t>
  </si>
  <si>
    <t xml:space="preserve">Cost per kg meat, milk, egg, or fish</t>
  </si>
  <si>
    <t xml:space="preserve">Health, Medicine &amp; Vaccination Management</t>
  </si>
  <si>
    <t xml:space="preserve">Disease record</t>
  </si>
  <si>
    <t xml:space="preserve">Animal/flock/pond-wise disease</t>
  </si>
  <si>
    <t xml:space="preserve">Treatment record</t>
  </si>
  <si>
    <t xml:space="preserve">Medicine, dosage, vet name</t>
  </si>
  <si>
    <t xml:space="preserve">Planned and completed vaccination</t>
  </si>
  <si>
    <t xml:space="preserve">Deworming schedule</t>
  </si>
  <si>
    <t xml:space="preserve">Cattle/dairy specific</t>
  </si>
  <si>
    <t xml:space="preserve">Medicine stock</t>
  </si>
  <si>
    <t xml:space="preserve">Purchase, issue, expiry date</t>
  </si>
  <si>
    <t xml:space="preserve">Vet visit record</t>
  </si>
  <si>
    <t xml:space="preserve">Diagnosis and recommendation</t>
  </si>
  <si>
    <t xml:space="preserve">Production Management</t>
  </si>
  <si>
    <t xml:space="preserve">Poultry</t>
  </si>
  <si>
    <t xml:space="preserve">Eggs, live bird weight, meat production</t>
  </si>
  <si>
    <t xml:space="preserve">Dairy</t>
  </si>
  <si>
    <t xml:space="preserve">Cattle</t>
  </si>
  <si>
    <t xml:space="preserve">Weight gain, calf birth, meat output</t>
  </si>
  <si>
    <t xml:space="preserve">Fish</t>
  </si>
  <si>
    <t xml:space="preserve">Fish growth, harvest quantity</t>
  </si>
  <si>
    <t xml:space="preserve">Inventory &amp; Store Management</t>
  </si>
  <si>
    <t xml:space="preserve">Poultry feed, cattle feed, fish feed</t>
  </si>
  <si>
    <t xml:space="preserve">Medicine</t>
  </si>
  <si>
    <t xml:space="preserve">Vaccine, antibiotic, vitamins</t>
  </si>
  <si>
    <t xml:space="preserve">Farm materials</t>
  </si>
  <si>
    <t xml:space="preserve">Trays, nets, buckets, tools</t>
  </si>
  <si>
    <t xml:space="preserve">Equipment</t>
  </si>
  <si>
    <t xml:space="preserve">Milking machine, generator, water pump</t>
  </si>
  <si>
    <t xml:space="preserve">Packaging</t>
  </si>
  <si>
    <t xml:space="preserve">Egg tray, milk container, fish box</t>
  </si>
  <si>
    <t xml:space="preserve">Sales &amp; Distribution Management</t>
  </si>
  <si>
    <t xml:space="preserve">Egg sales</t>
  </si>
  <si>
    <t xml:space="preserve">Retail/wholesale egg sales</t>
  </si>
  <si>
    <t xml:space="preserve">Daily milk supply</t>
  </si>
  <si>
    <t xml:space="preserve">Cattle sales</t>
  </si>
  <si>
    <t xml:space="preserve">Live animal sales</t>
  </si>
  <si>
    <t xml:space="preserve">Harvest sale</t>
  </si>
  <si>
    <t xml:space="preserve">Poultry sales</t>
  </si>
  <si>
    <t xml:space="preserve">Broiler/layer sale</t>
  </si>
  <si>
    <t xml:space="preserve">Procurement  Management</t>
  </si>
  <si>
    <t xml:space="preserve">Animal purchase</t>
  </si>
  <si>
    <t xml:space="preserve">Chicks, cows, calves, fingerlings</t>
  </si>
  <si>
    <t xml:space="preserve">Poultry, cattle, fish feed</t>
  </si>
  <si>
    <t xml:space="preserve">Medicine purchase</t>
  </si>
  <si>
    <t xml:space="preserve">Vaccine, treatment medicine</t>
  </si>
  <si>
    <t xml:space="preserve">Equipment purchase</t>
  </si>
  <si>
    <t xml:space="preserve">Farm tools and machinery</t>
  </si>
  <si>
    <t xml:space="preserve">Land purchase/lease</t>
  </si>
  <si>
    <t xml:space="preserve">Finance &amp; Accounting</t>
  </si>
  <si>
    <t xml:space="preserve">Income tracking</t>
  </si>
  <si>
    <t xml:space="preserve">Egg, milk, cattle, fish, chicken sales</t>
  </si>
  <si>
    <t xml:space="preserve">Expense tracking</t>
  </si>
  <si>
    <t xml:space="preserve">Feed, medicine, labor, electricity</t>
  </si>
  <si>
    <t xml:space="preserve">Cash/bank book</t>
  </si>
  <si>
    <t xml:space="preserve">Transaction tracking</t>
  </si>
  <si>
    <t xml:space="preserve">Accounts payable</t>
  </si>
  <si>
    <t xml:space="preserve">Supplier dues</t>
  </si>
  <si>
    <t xml:space="preserve">Accounts receivable</t>
  </si>
  <si>
    <t xml:space="preserve">Customer dues</t>
  </si>
  <si>
    <t xml:space="preserve">Profit &amp; loss</t>
  </si>
  <si>
    <t xml:space="preserve">Farm-wise profitability</t>
  </si>
  <si>
    <t xml:space="preserve">Cost center</t>
  </si>
  <si>
    <t xml:space="preserve">Poultry, dairy, cattle, fish unit-wise cost</t>
  </si>
  <si>
    <t xml:space="preserve">Asset &amp; Maintenance Management</t>
  </si>
  <si>
    <t xml:space="preserve">Machinery</t>
  </si>
  <si>
    <t xml:space="preserve">Milking machine, pump, generator</t>
  </si>
  <si>
    <t xml:space="preserve">Vehicles</t>
  </si>
  <si>
    <t xml:space="preserve">Delivery van, pickup</t>
  </si>
  <si>
    <t xml:space="preserve">Farm equipment</t>
  </si>
  <si>
    <t xml:space="preserve">Weighing scale, incubator, oxygen pump</t>
  </si>
  <si>
    <t xml:space="preserve">Infrastructure</t>
  </si>
  <si>
    <t xml:space="preserve">Shed, pond, barn, cold storage</t>
  </si>
  <si>
    <t xml:space="preserve">Analytics &amp; Dashboard</t>
  </si>
  <si>
    <t xml:space="preserve">Mortality %, FCR, egg production %, feed cost</t>
  </si>
  <si>
    <t xml:space="preserve">Milk per cow, lactation performance, fat %, feed cost/liter</t>
  </si>
  <si>
    <t xml:space="preserve">Weight gain, breeding success, health cost</t>
  </si>
  <si>
    <t xml:space="preserve">Survival rate, FCR, harvest quantity, water quality</t>
  </si>
  <si>
    <t xml:space="preserve">Finance</t>
  </si>
  <si>
    <t xml:space="preserve">Revenue, expense, profit, cost per unit</t>
  </si>
  <si>
    <t xml:space="preserve">Inventory</t>
  </si>
  <si>
    <t xml:space="preserve">Feed stock, medicine expiry, reorder alerts</t>
  </si>
  <si>
    <t xml:space="preserve">Asset register</t>
  </si>
  <si>
    <t xml:space="preserve">Asset details and value</t>
  </si>
  <si>
    <t xml:space="preserve">Maintenance schedule</t>
  </si>
  <si>
    <t xml:space="preserve">Preventive maintenance</t>
  </si>
  <si>
    <t xml:space="preserve">Repair record</t>
  </si>
  <si>
    <t xml:space="preserve">Cost and vendor</t>
  </si>
  <si>
    <t xml:space="preserve">Depreciation</t>
  </si>
  <si>
    <t xml:space="preserve">Accounting value reduction</t>
  </si>
  <si>
    <t xml:space="preserve">Purchase requisition</t>
  </si>
  <si>
    <t xml:space="preserve">Department-wise request</t>
  </si>
  <si>
    <t xml:space="preserve">Purchase order</t>
  </si>
  <si>
    <t xml:space="preserve">Supplier order</t>
  </si>
  <si>
    <t xml:space="preserve">Supplier quotation</t>
  </si>
  <si>
    <t xml:space="preserve">Price comparison</t>
  </si>
  <si>
    <t xml:space="preserve">Goods receive</t>
  </si>
  <si>
    <t xml:space="preserve">Quantity and quality check</t>
  </si>
  <si>
    <t xml:space="preserve">Supplier payment</t>
  </si>
  <si>
    <t xml:space="preserve">Payable tracking</t>
  </si>
  <si>
    <t xml:space="preserve">Sales order</t>
  </si>
  <si>
    <t xml:space="preserve">Quantity, rate, delivery date</t>
  </si>
  <si>
    <t xml:space="preserve">Invoice</t>
  </si>
  <si>
    <t xml:space="preserve">Bill generation</t>
  </si>
  <si>
    <t xml:space="preserve">Payment collection</t>
  </si>
  <si>
    <t xml:space="preserve">Cash, bank, due</t>
  </si>
  <si>
    <t xml:space="preserve">Delivery tracking</t>
  </si>
  <si>
    <t xml:space="preserve">Product dispatch</t>
  </si>
  <si>
    <t xml:space="preserve">Customer ledger</t>
  </si>
  <si>
    <t xml:space="preserve">Outstanding balance</t>
  </si>
  <si>
    <t xml:space="preserve">Daily production report</t>
  </si>
  <si>
    <t xml:space="preserve">Overall daily output</t>
  </si>
  <si>
    <t xml:space="preserve">Unit-wise productivity</t>
  </si>
  <si>
    <t xml:space="preserve">Shed/barn/pond performance</t>
  </si>
  <si>
    <t xml:space="preserve">Loss report</t>
  </si>
  <si>
    <t xml:space="preserve">Mortality, rejected milk, broken eggs</t>
  </si>
  <si>
    <t xml:space="preserve">Production trend</t>
  </si>
  <si>
    <t xml:space="preserve">Weekly/monthly comparison</t>
  </si>
  <si>
    <t xml:space="preserve">Mobile App / Field Data Entry</t>
  </si>
  <si>
    <t xml:space="preserve">Daily entry</t>
  </si>
  <si>
    <t xml:space="preserve">Feed, mortality, milk, egg, water data</t>
  </si>
  <si>
    <t xml:space="preserve">Offline mode</t>
  </si>
  <si>
    <t xml:space="preserve">Works without internet</t>
  </si>
  <si>
    <t xml:space="preserve">Photo upload</t>
  </si>
  <si>
    <t xml:space="preserve">Disease, pond, animal photo</t>
  </si>
  <si>
    <t xml:space="preserve">Alerts</t>
  </si>
  <si>
    <t xml:space="preserve">Vaccination, low stock, disease warning</t>
  </si>
  <si>
    <t xml:space="preserve">QR/tag scan</t>
  </si>
  <si>
    <t xml:space="preserve">Animal or batch identification</t>
  </si>
  <si>
    <t xml:space="preserve">Reports Module</t>
  </si>
  <si>
    <t xml:space="preserve">Poultry reports</t>
  </si>
  <si>
    <t xml:space="preserve">Flock performance, mortality, egg production</t>
  </si>
  <si>
    <t xml:space="preserve">Dairy reports</t>
  </si>
  <si>
    <t xml:space="preserve">Cow-wise milk report, lactation report</t>
  </si>
  <si>
    <t xml:space="preserve">Cattle reports</t>
  </si>
  <si>
    <t xml:space="preserve">Animal health, breeding, weight gain</t>
  </si>
  <si>
    <t xml:space="preserve">Fish reports</t>
  </si>
  <si>
    <t xml:space="preserve">Pond performance, water quality, harvest</t>
  </si>
  <si>
    <t xml:space="preserve">Inventory reports</t>
  </si>
  <si>
    <t xml:space="preserve">Feed stock, medicine stock, expiry</t>
  </si>
  <si>
    <t xml:space="preserve">Financial reports</t>
  </si>
  <si>
    <t xml:space="preserve">P&amp;L, cash flow, customer/supplier ledger</t>
  </si>
  <si>
    <t xml:space="preserve">HR reports</t>
  </si>
  <si>
    <t xml:space="preserve">Attendance, salary, duty roster</t>
  </si>
  <si>
    <t xml:space="preserve">Round</t>
  </si>
  <si>
    <t xml:space="preserve">Buffer 10%</t>
  </si>
  <si>
    <t xml:space="preserve">Amount</t>
  </si>
  <si>
    <t xml:space="preserve">Capital Expenditure</t>
  </si>
  <si>
    <t xml:space="preserve">Operational Expenditure</t>
  </si>
  <si>
    <t xml:space="preserve">Amount (Monthly)</t>
  </si>
  <si>
    <t xml:space="preserve">Amount (Yearly)</t>
  </si>
  <si>
    <t xml:space="preserve">Server Rent </t>
  </si>
  <si>
    <t xml:space="preserve">Annual Maintenence Contract (AMC)</t>
  </si>
  <si>
    <t xml:space="preserve">Cost Analysis</t>
  </si>
  <si>
    <t xml:space="preserve">First Year</t>
  </si>
  <si>
    <t xml:space="preserve">Upcoming Years</t>
  </si>
  <si>
    <t xml:space="preserve">Total Expenditure</t>
  </si>
  <si>
    <t xml:space="preserve">Yearly Revenue</t>
  </si>
  <si>
    <t xml:space="preserve">Yearly Benefit</t>
  </si>
  <si>
    <t xml:space="preserve">Cost vs Benefit</t>
  </si>
  <si>
    <t xml:space="preserve">Payback Period</t>
  </si>
  <si>
    <t xml:space="preserve">years</t>
  </si>
  <si>
    <t xml:space="preserve">months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</si>
</sst>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_(* #,##0.00_);_(* \(#,##0.00\);_(* \-??_);_(@_)"/>
    <numFmt numFmtId="167" formatCode="#,##0"/>
    <numFmt numFmtId="168" formatCode="[$৳-845]#,##0;[RED]\-[$৳-845]#,##0"/>
    <numFmt numFmtId="169" formatCode="[$৳-845]#,##0.00;[RED]\-[$৳-845]#,##0.00"/>
    <numFmt numFmtId="170" formatCode="0.00"/>
    <numFmt numFmtId="171" formatCode="0.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K44"/>
  <sheetViews>
    <sheetView showFormulas="false" showGridLines="true" showRowColHeaders="true" showZeros="true" rightToLeft="false" tabSelected="false" showOutlineSymbols="true" defaultGridColor="true" view="normal" topLeftCell="G10" colorId="64" zoomScale="85" zoomScaleNormal="85" zoomScalePageLayoutView="100" workbookViewId="0">
      <selection pane="topLeft" activeCell="J44" activeCellId="0" sqref="J44"/>
    </sheetView>
  </sheetViews>
  <sheetFormatPr defaultColWidth="8.59765625" defaultRowHeight="15" customHeight="false" zeroHeight="false" outlineLevelRow="0" outlineLevelCol="0"/>
  <cols>
    <col collapsed="false" customWidth="false" hidden="false" outlineLevel="0" max="2" min="1" style="1" width="8.59"/>
    <col collapsed="false" customWidth="true" hidden="false" outlineLevel="0" max="3" min="3" style="2" width="27.57"/>
    <col collapsed="false" customWidth="true" hidden="false" outlineLevel="0" max="4" min="4" style="2" width="40.29"/>
    <col collapsed="false" customWidth="true" hidden="false" outlineLevel="0" max="5" min="5" style="2" width="51.03"/>
    <col collapsed="false" customWidth="true" hidden="false" outlineLevel="0" max="6" min="6" style="2" width="13.86"/>
    <col collapsed="false" customWidth="true" hidden="false" outlineLevel="0" max="7" min="7" style="2" width="15"/>
    <col collapsed="false" customWidth="true" hidden="false" outlineLevel="0" max="8" min="8" style="2" width="18.49"/>
    <col collapsed="false" customWidth="false" hidden="false" outlineLevel="0" max="9" min="9" style="1" width="8.59"/>
    <col collapsed="false" customWidth="true" hidden="false" outlineLevel="0" max="10" min="10" style="2" width="13.3"/>
    <col collapsed="false" customWidth="true" hidden="false" outlineLevel="0" max="11" min="11" style="2" width="14.2"/>
    <col collapsed="false" customWidth="false" hidden="false" outlineLevel="0" max="16384" min="12" style="1" width="8.59"/>
  </cols>
  <sheetData>
    <row r="1" customFormat="false" ht="15" hidden="false" customHeight="false" outlineLevel="0" collapsed="false">
      <c r="F1" s="2" t="s">
        <v>0</v>
      </c>
      <c r="G1" s="2" t="s">
        <v>1</v>
      </c>
      <c r="H1" s="2" t="s">
        <v>2</v>
      </c>
      <c r="I1" s="2" t="s">
        <v>3</v>
      </c>
    </row>
    <row r="2" customFormat="false" ht="15" hidden="false" customHeight="false" outlineLevel="0" collapsed="false">
      <c r="C2" s="2" t="s">
        <v>4</v>
      </c>
      <c r="D2" s="3" t="s">
        <v>5</v>
      </c>
      <c r="E2" s="3" t="s">
        <v>6</v>
      </c>
    </row>
    <row r="3" customFormat="false" ht="15" hidden="false" customHeight="false" outlineLevel="0" collapsed="false">
      <c r="D3" s="4" t="s">
        <v>7</v>
      </c>
      <c r="E3" s="4" t="s">
        <v>8</v>
      </c>
      <c r="F3" s="2" t="n">
        <v>1</v>
      </c>
      <c r="G3" s="2" t="n">
        <v>2</v>
      </c>
      <c r="H3" s="2" t="n">
        <v>3</v>
      </c>
      <c r="I3" s="5" t="n">
        <f aca="false">(F3+4*G3+H3)/6</f>
        <v>2</v>
      </c>
      <c r="J3" s="5"/>
      <c r="K3" s="5"/>
    </row>
    <row r="4" customFormat="false" ht="15" hidden="false" customHeight="false" outlineLevel="0" collapsed="false">
      <c r="D4" s="4" t="s">
        <v>9</v>
      </c>
      <c r="E4" s="4" t="s">
        <v>10</v>
      </c>
      <c r="F4" s="2" t="n">
        <v>1</v>
      </c>
      <c r="G4" s="2" t="n">
        <v>2</v>
      </c>
      <c r="H4" s="2" t="n">
        <v>3</v>
      </c>
      <c r="I4" s="5" t="n">
        <f aca="false">(F4+4*G4+H4)/6</f>
        <v>2</v>
      </c>
      <c r="J4" s="5"/>
      <c r="K4" s="5"/>
    </row>
    <row r="5" customFormat="false" ht="15" hidden="false" customHeight="false" outlineLevel="0" collapsed="false">
      <c r="D5" s="4" t="s">
        <v>11</v>
      </c>
      <c r="E5" s="4" t="s">
        <v>12</v>
      </c>
      <c r="F5" s="2" t="n">
        <v>2</v>
      </c>
      <c r="G5" s="2" t="n">
        <v>3</v>
      </c>
      <c r="H5" s="2" t="n">
        <v>5</v>
      </c>
      <c r="I5" s="5" t="n">
        <f aca="false">(F5+4*G5+H5)/6</f>
        <v>3.16666666666667</v>
      </c>
      <c r="J5" s="5"/>
      <c r="K5" s="5"/>
    </row>
    <row r="6" customFormat="false" ht="15" hidden="false" customHeight="false" outlineLevel="0" collapsed="false">
      <c r="D6" s="4" t="s">
        <v>13</v>
      </c>
      <c r="E6" s="4" t="s">
        <v>14</v>
      </c>
      <c r="F6" s="2" t="n">
        <v>2</v>
      </c>
      <c r="G6" s="2" t="n">
        <v>3</v>
      </c>
      <c r="H6" s="2" t="n">
        <v>5</v>
      </c>
      <c r="I6" s="5" t="n">
        <f aca="false">(F6+4*G6+H6)/6</f>
        <v>3.16666666666667</v>
      </c>
      <c r="J6" s="5"/>
      <c r="K6" s="5"/>
    </row>
    <row r="7" customFormat="false" ht="15" hidden="false" customHeight="false" outlineLevel="0" collapsed="false">
      <c r="D7" s="4" t="s">
        <v>15</v>
      </c>
      <c r="E7" s="4" t="s">
        <v>16</v>
      </c>
      <c r="F7" s="2" t="n">
        <v>0.25</v>
      </c>
      <c r="G7" s="2" t="n">
        <v>0.5</v>
      </c>
      <c r="H7" s="2" t="n">
        <v>1</v>
      </c>
      <c r="I7" s="5" t="n">
        <f aca="false">(F7+4*G7+H7)/6</f>
        <v>0.541666666666667</v>
      </c>
      <c r="J7" s="5" t="n">
        <f aca="false">SUM(I3:I7)</f>
        <v>10.875</v>
      </c>
      <c r="K7" s="5"/>
    </row>
    <row r="8" customFormat="false" ht="15" hidden="false" customHeight="false" outlineLevel="0" collapsed="false">
      <c r="C8" s="2" t="s">
        <v>17</v>
      </c>
      <c r="D8" s="3" t="s">
        <v>18</v>
      </c>
      <c r="E8" s="3" t="s">
        <v>19</v>
      </c>
      <c r="I8" s="5" t="n">
        <f aca="false">(F8+4*G8+H8)/6</f>
        <v>0</v>
      </c>
      <c r="J8" s="5"/>
      <c r="K8" s="5"/>
    </row>
    <row r="9" customFormat="false" ht="15" hidden="false" customHeight="false" outlineLevel="0" collapsed="false">
      <c r="D9" s="4" t="s">
        <v>20</v>
      </c>
      <c r="E9" s="4" t="s">
        <v>21</v>
      </c>
      <c r="F9" s="2" t="n">
        <v>1</v>
      </c>
      <c r="G9" s="2" t="n">
        <v>2</v>
      </c>
      <c r="H9" s="2" t="n">
        <v>3</v>
      </c>
      <c r="I9" s="5" t="n">
        <f aca="false">(F9+4*G9+H9)/6</f>
        <v>2</v>
      </c>
      <c r="J9" s="5"/>
      <c r="K9" s="5"/>
    </row>
    <row r="10" customFormat="false" ht="15" hidden="false" customHeight="false" outlineLevel="0" collapsed="false">
      <c r="D10" s="4"/>
      <c r="E10" s="4" t="s">
        <v>22</v>
      </c>
      <c r="F10" s="2" t="n">
        <v>0.25</v>
      </c>
      <c r="G10" s="2" t="n">
        <v>0.5</v>
      </c>
      <c r="H10" s="2" t="n">
        <v>1</v>
      </c>
      <c r="I10" s="5" t="n">
        <f aca="false">(F10+4*G10+H10)/6</f>
        <v>0.541666666666667</v>
      </c>
      <c r="J10" s="5"/>
      <c r="K10" s="5"/>
    </row>
    <row r="11" customFormat="false" ht="15" hidden="false" customHeight="false" outlineLevel="0" collapsed="false">
      <c r="D11" s="4" t="s">
        <v>23</v>
      </c>
      <c r="E11" s="4" t="s">
        <v>24</v>
      </c>
      <c r="F11" s="2" t="n">
        <v>0.25</v>
      </c>
      <c r="G11" s="2" t="n">
        <v>0.5</v>
      </c>
      <c r="H11" s="2" t="n">
        <v>1</v>
      </c>
      <c r="I11" s="5" t="n">
        <f aca="false">(F11+4*G11+H11)/6</f>
        <v>0.541666666666667</v>
      </c>
      <c r="J11" s="5"/>
      <c r="K11" s="5"/>
    </row>
    <row r="12" customFormat="false" ht="15" hidden="false" customHeight="false" outlineLevel="0" collapsed="false">
      <c r="D12" s="4" t="s">
        <v>25</v>
      </c>
      <c r="E12" s="4" t="s">
        <v>26</v>
      </c>
      <c r="F12" s="2" t="n">
        <v>0.25</v>
      </c>
      <c r="G12" s="2" t="n">
        <v>0.5</v>
      </c>
      <c r="H12" s="2" t="n">
        <v>1</v>
      </c>
      <c r="I12" s="5" t="n">
        <f aca="false">(F12+4*G12+H12)/6</f>
        <v>0.541666666666667</v>
      </c>
      <c r="J12" s="5"/>
      <c r="K12" s="5"/>
    </row>
    <row r="13" customFormat="false" ht="15" hidden="false" customHeight="false" outlineLevel="0" collapsed="false">
      <c r="D13" s="4" t="s">
        <v>27</v>
      </c>
      <c r="E13" s="4" t="s">
        <v>28</v>
      </c>
      <c r="F13" s="2" t="n">
        <v>0.25</v>
      </c>
      <c r="G13" s="2" t="n">
        <v>0.5</v>
      </c>
      <c r="H13" s="2" t="n">
        <v>1</v>
      </c>
      <c r="I13" s="5" t="n">
        <f aca="false">(F13+4*G13+H13)/6</f>
        <v>0.541666666666667</v>
      </c>
      <c r="J13" s="5" t="n">
        <f aca="false">SUM(I9:I13)</f>
        <v>4.16666666666667</v>
      </c>
      <c r="K13" s="5"/>
    </row>
    <row r="14" customFormat="false" ht="15" hidden="false" customHeight="false" outlineLevel="0" collapsed="false">
      <c r="C14" s="6" t="s">
        <v>29</v>
      </c>
      <c r="D14" s="3" t="s">
        <v>30</v>
      </c>
      <c r="E14" s="3" t="s">
        <v>31</v>
      </c>
      <c r="I14" s="5" t="n">
        <f aca="false">(F14+4*G14+H14)/6</f>
        <v>0</v>
      </c>
      <c r="J14" s="5"/>
      <c r="K14" s="5"/>
    </row>
    <row r="15" customFormat="false" ht="15" hidden="false" customHeight="false" outlineLevel="0" collapsed="false">
      <c r="D15" s="4" t="s">
        <v>32</v>
      </c>
      <c r="E15" s="4" t="s">
        <v>33</v>
      </c>
      <c r="F15" s="2" t="n">
        <v>1</v>
      </c>
      <c r="G15" s="2" t="n">
        <v>2</v>
      </c>
      <c r="H15" s="2" t="n">
        <v>3</v>
      </c>
      <c r="I15" s="5" t="n">
        <f aca="false">(F15+4*G15+H15)/6</f>
        <v>2</v>
      </c>
      <c r="J15" s="5"/>
      <c r="K15" s="5"/>
    </row>
    <row r="16" customFormat="false" ht="15" hidden="false" customHeight="false" outlineLevel="0" collapsed="false">
      <c r="D16" s="4" t="s">
        <v>34</v>
      </c>
      <c r="E16" s="4" t="s">
        <v>35</v>
      </c>
      <c r="F16" s="2" t="n">
        <v>2</v>
      </c>
      <c r="G16" s="2" t="n">
        <v>3</v>
      </c>
      <c r="H16" s="2" t="n">
        <v>5</v>
      </c>
      <c r="I16" s="5" t="n">
        <f aca="false">(F16+4*G16+H16)/6</f>
        <v>3.16666666666667</v>
      </c>
      <c r="J16" s="5"/>
      <c r="K16" s="5"/>
    </row>
    <row r="17" customFormat="false" ht="15" hidden="false" customHeight="false" outlineLevel="0" collapsed="false">
      <c r="D17" s="4" t="s">
        <v>36</v>
      </c>
      <c r="E17" s="4" t="s">
        <v>37</v>
      </c>
      <c r="F17" s="2" t="n">
        <v>3</v>
      </c>
      <c r="G17" s="2" t="n">
        <v>5</v>
      </c>
      <c r="H17" s="2" t="n">
        <v>8</v>
      </c>
      <c r="I17" s="5" t="n">
        <f aca="false">(F17+4*G17+H17)/6</f>
        <v>5.16666666666667</v>
      </c>
      <c r="J17" s="5"/>
      <c r="K17" s="5"/>
    </row>
    <row r="18" customFormat="false" ht="15" hidden="false" customHeight="false" outlineLevel="0" collapsed="false">
      <c r="D18" s="4" t="s">
        <v>38</v>
      </c>
      <c r="E18" s="4" t="s">
        <v>39</v>
      </c>
      <c r="F18" s="2" t="n">
        <v>3</v>
      </c>
      <c r="G18" s="2" t="n">
        <v>5</v>
      </c>
      <c r="H18" s="2" t="n">
        <v>8</v>
      </c>
      <c r="I18" s="5" t="n">
        <f aca="false">(F18+4*G18+H18)/6</f>
        <v>5.16666666666667</v>
      </c>
      <c r="J18" s="5"/>
      <c r="K18" s="5"/>
    </row>
    <row r="19" customFormat="false" ht="15" hidden="false" customHeight="false" outlineLevel="0" collapsed="false">
      <c r="D19" s="4" t="s">
        <v>40</v>
      </c>
      <c r="E19" s="4"/>
      <c r="F19" s="2" t="n">
        <v>3</v>
      </c>
      <c r="G19" s="2" t="n">
        <v>5</v>
      </c>
      <c r="H19" s="2" t="n">
        <v>8</v>
      </c>
      <c r="I19" s="5" t="n">
        <f aca="false">(F19+4*G19+H19)/6</f>
        <v>5.16666666666667</v>
      </c>
      <c r="J19" s="5"/>
      <c r="K19" s="5"/>
    </row>
    <row r="20" customFormat="false" ht="15" hidden="false" customHeight="false" outlineLevel="0" collapsed="false">
      <c r="D20" s="4" t="s">
        <v>41</v>
      </c>
      <c r="E20" s="4" t="s">
        <v>42</v>
      </c>
      <c r="F20" s="2" t="n">
        <v>2</v>
      </c>
      <c r="G20" s="2" t="n">
        <v>3</v>
      </c>
      <c r="H20" s="2" t="n">
        <v>5</v>
      </c>
      <c r="I20" s="5" t="n">
        <f aca="false">(F20+4*G20+H20)/6</f>
        <v>3.16666666666667</v>
      </c>
      <c r="J20" s="5"/>
      <c r="K20" s="5"/>
    </row>
    <row r="21" customFormat="false" ht="15" hidden="false" customHeight="false" outlineLevel="0" collapsed="false">
      <c r="D21" s="4" t="s">
        <v>43</v>
      </c>
      <c r="E21" s="4" t="s">
        <v>44</v>
      </c>
      <c r="F21" s="2" t="n">
        <v>2</v>
      </c>
      <c r="G21" s="2" t="n">
        <v>3</v>
      </c>
      <c r="H21" s="2" t="n">
        <v>5</v>
      </c>
      <c r="I21" s="5" t="n">
        <f aca="false">(F21+4*G21+H21)/6</f>
        <v>3.16666666666667</v>
      </c>
      <c r="J21" s="5" t="n">
        <f aca="false">SUM(I15:I21)</f>
        <v>27</v>
      </c>
      <c r="K21" s="5"/>
    </row>
    <row r="22" customFormat="false" ht="15" hidden="false" customHeight="false" outlineLevel="0" collapsed="false">
      <c r="C22" s="2" t="s">
        <v>45</v>
      </c>
      <c r="I22" s="5" t="n">
        <f aca="false">(F22+4*G22+H22)/6</f>
        <v>0</v>
      </c>
      <c r="J22" s="5"/>
      <c r="K22" s="5"/>
    </row>
    <row r="23" customFormat="false" ht="15" hidden="false" customHeight="false" outlineLevel="0" collapsed="false">
      <c r="D23" s="4" t="s">
        <v>46</v>
      </c>
      <c r="F23" s="2" t="n">
        <v>2</v>
      </c>
      <c r="G23" s="2" t="n">
        <v>3</v>
      </c>
      <c r="H23" s="2" t="n">
        <v>5</v>
      </c>
      <c r="I23" s="5" t="n">
        <f aca="false">(F23+4*G23+H23)/6</f>
        <v>3.16666666666667</v>
      </c>
      <c r="J23" s="5"/>
      <c r="K23" s="5"/>
    </row>
    <row r="24" customFormat="false" ht="15" hidden="false" customHeight="false" outlineLevel="0" collapsed="false">
      <c r="D24" s="4" t="s">
        <v>47</v>
      </c>
      <c r="I24" s="5" t="n">
        <f aca="false">'Development Expense'!H117</f>
        <v>128.7</v>
      </c>
      <c r="J24" s="5" t="n">
        <f aca="false">SUM(I23:I24)</f>
        <v>131.866666666667</v>
      </c>
      <c r="K24" s="5"/>
    </row>
    <row r="25" customFormat="false" ht="15" hidden="false" customHeight="false" outlineLevel="0" collapsed="false">
      <c r="C25" s="2" t="s">
        <v>48</v>
      </c>
      <c r="D25" s="3" t="s">
        <v>49</v>
      </c>
      <c r="E25" s="3" t="s">
        <v>50</v>
      </c>
      <c r="I25" s="5" t="n">
        <f aca="false">(F25+4*G25+H25)/6</f>
        <v>0</v>
      </c>
      <c r="J25" s="5"/>
      <c r="K25" s="5"/>
    </row>
    <row r="26" customFormat="false" ht="15" hidden="false" customHeight="false" outlineLevel="0" collapsed="false">
      <c r="D26" s="4" t="s">
        <v>51</v>
      </c>
      <c r="E26" s="3"/>
      <c r="F26" s="2" t="n">
        <v>1</v>
      </c>
      <c r="G26" s="2" t="n">
        <v>2</v>
      </c>
      <c r="H26" s="2" t="n">
        <v>3</v>
      </c>
      <c r="I26" s="5" t="n">
        <f aca="false">(F26+4*G26+H26)/6</f>
        <v>2</v>
      </c>
      <c r="J26" s="5"/>
      <c r="K26" s="5"/>
    </row>
    <row r="27" customFormat="false" ht="15" hidden="false" customHeight="false" outlineLevel="0" collapsed="false">
      <c r="D27" s="4" t="s">
        <v>52</v>
      </c>
      <c r="E27" s="4" t="s">
        <v>53</v>
      </c>
      <c r="F27" s="2" t="n">
        <v>2</v>
      </c>
      <c r="G27" s="2" t="n">
        <v>3</v>
      </c>
      <c r="H27" s="2" t="n">
        <v>5</v>
      </c>
      <c r="I27" s="5" t="n">
        <f aca="false">(F27+4*G27+H27)/6</f>
        <v>3.16666666666667</v>
      </c>
      <c r="J27" s="5"/>
      <c r="K27" s="5"/>
    </row>
    <row r="28" customFormat="false" ht="15" hidden="false" customHeight="false" outlineLevel="0" collapsed="false">
      <c r="D28" s="4" t="s">
        <v>54</v>
      </c>
      <c r="E28" s="4" t="s">
        <v>55</v>
      </c>
      <c r="F28" s="2" t="n">
        <v>2</v>
      </c>
      <c r="G28" s="2" t="n">
        <v>3</v>
      </c>
      <c r="H28" s="2" t="n">
        <v>5</v>
      </c>
      <c r="I28" s="5" t="n">
        <f aca="false">(F28+4*G28+H28)/6</f>
        <v>3.16666666666667</v>
      </c>
      <c r="J28" s="5"/>
      <c r="K28" s="5"/>
    </row>
    <row r="29" customFormat="false" ht="15" hidden="false" customHeight="false" outlineLevel="0" collapsed="false">
      <c r="D29" s="4" t="s">
        <v>56</v>
      </c>
      <c r="E29" s="4" t="s">
        <v>57</v>
      </c>
      <c r="F29" s="2" t="n">
        <v>2</v>
      </c>
      <c r="G29" s="2" t="n">
        <v>3</v>
      </c>
      <c r="H29" s="2" t="n">
        <v>5</v>
      </c>
      <c r="I29" s="5" t="n">
        <f aca="false">(F29+4*G29+H29)/6</f>
        <v>3.16666666666667</v>
      </c>
      <c r="J29" s="5"/>
      <c r="K29" s="5"/>
    </row>
    <row r="30" customFormat="false" ht="15" hidden="false" customHeight="false" outlineLevel="0" collapsed="false">
      <c r="D30" s="4" t="s">
        <v>58</v>
      </c>
      <c r="E30" s="4" t="s">
        <v>59</v>
      </c>
      <c r="F30" s="2" t="n">
        <v>2</v>
      </c>
      <c r="G30" s="2" t="n">
        <v>3</v>
      </c>
      <c r="H30" s="2" t="n">
        <v>5</v>
      </c>
      <c r="I30" s="5" t="n">
        <f aca="false">(F30+4*G30+H30)/6</f>
        <v>3.16666666666667</v>
      </c>
      <c r="J30" s="5"/>
      <c r="K30" s="5"/>
    </row>
    <row r="31" customFormat="false" ht="15" hidden="false" customHeight="false" outlineLevel="0" collapsed="false">
      <c r="D31" s="4" t="s">
        <v>60</v>
      </c>
      <c r="E31" s="4" t="s">
        <v>61</v>
      </c>
      <c r="F31" s="2" t="n">
        <v>1</v>
      </c>
      <c r="G31" s="2" t="n">
        <v>2</v>
      </c>
      <c r="H31" s="2" t="n">
        <v>3</v>
      </c>
      <c r="I31" s="5" t="n">
        <f aca="false">(F31+4*G31+H31)/6</f>
        <v>2</v>
      </c>
      <c r="J31" s="5"/>
      <c r="K31" s="5"/>
    </row>
    <row r="32" customFormat="false" ht="15" hidden="false" customHeight="false" outlineLevel="0" collapsed="false">
      <c r="D32" s="4" t="s">
        <v>62</v>
      </c>
      <c r="E32" s="4" t="s">
        <v>63</v>
      </c>
      <c r="F32" s="2" t="n">
        <v>2</v>
      </c>
      <c r="G32" s="2" t="n">
        <v>3</v>
      </c>
      <c r="H32" s="2" t="n">
        <v>5</v>
      </c>
      <c r="I32" s="5" t="n">
        <f aca="false">(F32+4*G32+H32)/6</f>
        <v>3.16666666666667</v>
      </c>
      <c r="J32" s="5" t="n">
        <f aca="false">SUM(I26:I32)</f>
        <v>19.8333333333333</v>
      </c>
      <c r="K32" s="5"/>
    </row>
    <row r="33" s="1" customFormat="true" ht="15" hidden="false" customHeight="false" outlineLevel="0" collapsed="false">
      <c r="C33" s="1" t="s">
        <v>64</v>
      </c>
      <c r="E33" s="7" t="s">
        <v>50</v>
      </c>
      <c r="K33" s="5"/>
    </row>
    <row r="34" s="1" customFormat="true" ht="15" hidden="false" customHeight="false" outlineLevel="0" collapsed="false">
      <c r="E34" s="1" t="s">
        <v>65</v>
      </c>
      <c r="F34" s="1" t="n">
        <v>3</v>
      </c>
      <c r="G34" s="1" t="n">
        <v>5</v>
      </c>
      <c r="H34" s="1" t="n">
        <v>8</v>
      </c>
      <c r="I34" s="1" t="n">
        <f aca="false">(F34 + 4*G34+H34)/6</f>
        <v>5.16666666666667</v>
      </c>
      <c r="J34" s="1" t="n">
        <f aca="false">SUM(I34)</f>
        <v>5.16666666666667</v>
      </c>
      <c r="K34" s="5"/>
    </row>
    <row r="35" s="1" customFormat="true" ht="15" hidden="false" customHeight="false" outlineLevel="0" collapsed="false">
      <c r="F35" s="0"/>
      <c r="G35" s="0"/>
      <c r="H35" s="0"/>
      <c r="I35" s="0"/>
      <c r="K35" s="5"/>
    </row>
    <row r="36" customFormat="false" ht="15" hidden="false" customHeight="false" outlineLevel="0" collapsed="false">
      <c r="C36" s="2" t="s">
        <v>66</v>
      </c>
      <c r="D36" s="3" t="s">
        <v>67</v>
      </c>
      <c r="E36" s="3" t="s">
        <v>31</v>
      </c>
      <c r="I36" s="5" t="n">
        <f aca="false">(F36+4*G36+H36)/6</f>
        <v>0</v>
      </c>
      <c r="J36" s="5"/>
      <c r="K36" s="5"/>
    </row>
    <row r="37" customFormat="false" ht="15" hidden="false" customHeight="false" outlineLevel="0" collapsed="false">
      <c r="D37" s="4" t="s">
        <v>68</v>
      </c>
      <c r="E37" s="4"/>
      <c r="F37" s="2" t="n">
        <v>2</v>
      </c>
      <c r="G37" s="2" t="n">
        <v>3</v>
      </c>
      <c r="H37" s="2" t="n">
        <v>5</v>
      </c>
      <c r="I37" s="5" t="n">
        <f aca="false">(F37+4*G37+H37)/6</f>
        <v>3.16666666666667</v>
      </c>
      <c r="J37" s="5"/>
      <c r="K37" s="5"/>
    </row>
    <row r="38" customFormat="false" ht="15" hidden="false" customHeight="false" outlineLevel="0" collapsed="false">
      <c r="D38" s="4" t="s">
        <v>69</v>
      </c>
      <c r="E38" s="4" t="s">
        <v>70</v>
      </c>
      <c r="F38" s="2" t="n">
        <v>2</v>
      </c>
      <c r="G38" s="2" t="n">
        <v>3</v>
      </c>
      <c r="H38" s="2" t="n">
        <v>5</v>
      </c>
      <c r="I38" s="5" t="n">
        <f aca="false">(F38+4*G38+H38)/6</f>
        <v>3.16666666666667</v>
      </c>
      <c r="J38" s="5"/>
      <c r="K38" s="5"/>
    </row>
    <row r="39" customFormat="false" ht="15" hidden="false" customHeight="false" outlineLevel="0" collapsed="false">
      <c r="D39" s="4" t="s">
        <v>71</v>
      </c>
      <c r="E39" s="4" t="s">
        <v>72</v>
      </c>
      <c r="F39" s="2" t="n">
        <v>1</v>
      </c>
      <c r="G39" s="2" t="n">
        <v>2</v>
      </c>
      <c r="H39" s="2" t="n">
        <v>3</v>
      </c>
      <c r="I39" s="5" t="n">
        <f aca="false">(F39+4*G39+H39)/6</f>
        <v>2</v>
      </c>
      <c r="J39" s="5"/>
      <c r="K39" s="5"/>
    </row>
    <row r="40" customFormat="false" ht="15" hidden="false" customHeight="false" outlineLevel="0" collapsed="false">
      <c r="D40" s="4" t="s">
        <v>73</v>
      </c>
      <c r="E40" s="4" t="s">
        <v>74</v>
      </c>
      <c r="F40" s="2" t="n">
        <v>2</v>
      </c>
      <c r="G40" s="2" t="n">
        <v>3</v>
      </c>
      <c r="H40" s="2" t="n">
        <v>5</v>
      </c>
      <c r="I40" s="5" t="n">
        <f aca="false">(F40+4*G40+H40)/6</f>
        <v>3.16666666666667</v>
      </c>
      <c r="J40" s="5"/>
      <c r="K40" s="5"/>
    </row>
    <row r="41" customFormat="false" ht="15" hidden="false" customHeight="false" outlineLevel="0" collapsed="false">
      <c r="D41" s="4" t="s">
        <v>75</v>
      </c>
      <c r="E41" s="4" t="s">
        <v>76</v>
      </c>
      <c r="F41" s="2" t="n">
        <v>1</v>
      </c>
      <c r="G41" s="2" t="n">
        <v>2</v>
      </c>
      <c r="H41" s="2" t="n">
        <v>3</v>
      </c>
      <c r="I41" s="5" t="n">
        <f aca="false">(F41+4*G41+H41)/6</f>
        <v>2</v>
      </c>
      <c r="J41" s="5" t="n">
        <f aca="false">SUM(I35:I41)</f>
        <v>13.5</v>
      </c>
      <c r="K41" s="5"/>
    </row>
    <row r="42" customFormat="false" ht="15" hidden="false" customHeight="false" outlineLevel="0" collapsed="false">
      <c r="I42" s="8" t="n">
        <f aca="false">SUM(I3:I41)</f>
        <v>212.408333333333</v>
      </c>
      <c r="J42" s="5"/>
    </row>
    <row r="43" customFormat="false" ht="15" hidden="false" customHeight="false" outlineLevel="0" collapsed="false">
      <c r="H43" s="2" t="s">
        <v>77</v>
      </c>
      <c r="I43" s="9" t="n">
        <v>7500</v>
      </c>
      <c r="J43" s="9" t="n">
        <f aca="false">I43*I42</f>
        <v>1593062.5</v>
      </c>
    </row>
    <row r="44" customFormat="false" ht="15" hidden="false" customHeight="false" outlineLevel="0" collapsed="false">
      <c r="H44" s="2" t="s">
        <v>78</v>
      </c>
      <c r="I44" s="5"/>
      <c r="J44" s="9" t="n">
        <f aca="false">J43*1.05</f>
        <v>1672715.625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17"/>
  <sheetViews>
    <sheetView showFormulas="false" showGridLines="true" showRowColHeaders="true" showZeros="true" rightToLeft="false" tabSelected="false" showOutlineSymbols="true" defaultGridColor="true" view="normal" topLeftCell="A103" colorId="64" zoomScale="85" zoomScaleNormal="85" zoomScalePageLayoutView="100" workbookViewId="0">
      <selection pane="topLeft" activeCell="F6" activeCellId="0" sqref="F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0" width="14"/>
    <col collapsed="false" customWidth="true" hidden="false" outlineLevel="0" max="3" min="3" style="10" width="23"/>
    <col collapsed="false" customWidth="true" hidden="false" outlineLevel="0" max="4" min="4" style="10" width="47.43"/>
    <col collapsed="false" customWidth="true" hidden="false" outlineLevel="0" max="5" min="5" style="10" width="9.92"/>
    <col collapsed="false" customWidth="true" hidden="false" outlineLevel="0" max="6" min="6" style="10" width="10.81"/>
    <col collapsed="false" customWidth="true" hidden="false" outlineLevel="0" max="7" min="7" style="10" width="12.03"/>
  </cols>
  <sheetData>
    <row r="1" customFormat="false" ht="15" hidden="false" customHeight="false" outlineLevel="0" collapsed="false">
      <c r="B1" s="11" t="s">
        <v>79</v>
      </c>
      <c r="C1" s="11" t="s">
        <v>80</v>
      </c>
      <c r="D1" s="11" t="s">
        <v>81</v>
      </c>
      <c r="E1" s="10" t="s">
        <v>0</v>
      </c>
      <c r="F1" s="10" t="s">
        <v>1</v>
      </c>
      <c r="G1" s="10" t="s">
        <v>2</v>
      </c>
      <c r="H1" s="10" t="s">
        <v>3</v>
      </c>
    </row>
    <row r="2" customFormat="false" ht="15" hidden="false" customHeight="true" outlineLevel="0" collapsed="false">
      <c r="B2" s="12" t="s">
        <v>82</v>
      </c>
      <c r="C2" s="13" t="s">
        <v>83</v>
      </c>
      <c r="D2" s="13" t="s">
        <v>84</v>
      </c>
      <c r="E2" s="10" t="n">
        <v>0.5</v>
      </c>
      <c r="F2" s="10" t="n">
        <v>1</v>
      </c>
      <c r="G2" s="10" t="n">
        <v>2</v>
      </c>
      <c r="H2" s="10" t="n">
        <f aca="false">(E2+4*F2+G2)/6</f>
        <v>1.08333333333333</v>
      </c>
    </row>
    <row r="3" customFormat="false" ht="15" hidden="false" customHeight="false" outlineLevel="0" collapsed="false">
      <c r="B3" s="12"/>
      <c r="C3" s="13" t="s">
        <v>85</v>
      </c>
      <c r="D3" s="13" t="s">
        <v>86</v>
      </c>
      <c r="E3" s="10" t="n">
        <v>0.5</v>
      </c>
      <c r="F3" s="10" t="n">
        <v>1</v>
      </c>
      <c r="G3" s="10" t="n">
        <v>2</v>
      </c>
      <c r="H3" s="10" t="n">
        <f aca="false">(E3+4*F3+G3)/6</f>
        <v>1.08333333333333</v>
      </c>
    </row>
    <row r="4" customFormat="false" ht="15" hidden="false" customHeight="false" outlineLevel="0" collapsed="false">
      <c r="B4" s="12"/>
      <c r="C4" s="13" t="s">
        <v>87</v>
      </c>
      <c r="D4" s="13" t="s">
        <v>88</v>
      </c>
      <c r="E4" s="10" t="n">
        <v>0.5</v>
      </c>
      <c r="F4" s="10" t="n">
        <v>1</v>
      </c>
      <c r="G4" s="10" t="n">
        <v>2</v>
      </c>
      <c r="H4" s="10" t="n">
        <f aca="false">(E4+4*F4+G4)/6</f>
        <v>1.08333333333333</v>
      </c>
    </row>
    <row r="5" customFormat="false" ht="15" hidden="false" customHeight="false" outlineLevel="0" collapsed="false">
      <c r="B5" s="12"/>
      <c r="C5" s="13" t="s">
        <v>89</v>
      </c>
      <c r="D5" s="13" t="s">
        <v>90</v>
      </c>
      <c r="E5" s="10" t="n">
        <v>0.5</v>
      </c>
      <c r="F5" s="10" t="n">
        <v>1</v>
      </c>
      <c r="G5" s="10" t="n">
        <v>2</v>
      </c>
      <c r="H5" s="10" t="n">
        <f aca="false">(E5+4*F5+G5)/6</f>
        <v>1.08333333333333</v>
      </c>
    </row>
    <row r="6" customFormat="false" ht="15" hidden="false" customHeight="false" outlineLevel="0" collapsed="false">
      <c r="B6" s="12"/>
      <c r="C6" s="13" t="s">
        <v>91</v>
      </c>
      <c r="D6" s="13" t="s">
        <v>92</v>
      </c>
      <c r="E6" s="10" t="n">
        <v>0.5</v>
      </c>
      <c r="F6" s="10" t="n">
        <v>1</v>
      </c>
      <c r="G6" s="10" t="n">
        <v>2</v>
      </c>
      <c r="H6" s="10" t="n">
        <f aca="false">(E6+4*F6+G6)/6</f>
        <v>1.08333333333333</v>
      </c>
    </row>
    <row r="7" customFormat="false" ht="15" hidden="false" customHeight="false" outlineLevel="0" collapsed="false">
      <c r="B7" s="12"/>
      <c r="C7" s="13" t="s">
        <v>91</v>
      </c>
      <c r="D7" s="13" t="s">
        <v>92</v>
      </c>
      <c r="E7" s="10" t="n">
        <v>0.5</v>
      </c>
      <c r="F7" s="10" t="n">
        <v>1</v>
      </c>
      <c r="G7" s="10" t="n">
        <v>2</v>
      </c>
      <c r="H7" s="10" t="n">
        <f aca="false">(E7+4*F7+G7)/6</f>
        <v>1.08333333333333</v>
      </c>
    </row>
    <row r="8" customFormat="false" ht="15" hidden="false" customHeight="true" outlineLevel="0" collapsed="false">
      <c r="B8" s="12" t="s">
        <v>93</v>
      </c>
      <c r="C8" s="13" t="s">
        <v>94</v>
      </c>
      <c r="D8" s="13" t="s">
        <v>95</v>
      </c>
      <c r="E8" s="10" t="n">
        <v>0.5</v>
      </c>
      <c r="F8" s="10" t="n">
        <v>1</v>
      </c>
      <c r="G8" s="10" t="n">
        <v>2</v>
      </c>
      <c r="H8" s="10" t="n">
        <f aca="false">(E8+4*F8+G8)/6</f>
        <v>1.08333333333333</v>
      </c>
    </row>
    <row r="9" customFormat="false" ht="15" hidden="false" customHeight="false" outlineLevel="0" collapsed="false">
      <c r="B9" s="12"/>
      <c r="C9" s="13" t="s">
        <v>96</v>
      </c>
      <c r="D9" s="13" t="s">
        <v>97</v>
      </c>
      <c r="E9" s="10" t="n">
        <v>0.5</v>
      </c>
      <c r="F9" s="10" t="n">
        <v>1</v>
      </c>
      <c r="G9" s="10" t="n">
        <v>2</v>
      </c>
      <c r="H9" s="10" t="n">
        <f aca="false">(E9+4*F9+G9)/6</f>
        <v>1.08333333333333</v>
      </c>
    </row>
    <row r="10" customFormat="false" ht="15" hidden="false" customHeight="false" outlineLevel="0" collapsed="false">
      <c r="B10" s="12"/>
      <c r="C10" s="13" t="s">
        <v>98</v>
      </c>
      <c r="D10" s="13" t="s">
        <v>99</v>
      </c>
      <c r="E10" s="10" t="n">
        <v>0.5</v>
      </c>
      <c r="F10" s="10" t="n">
        <v>1</v>
      </c>
      <c r="G10" s="10" t="n">
        <v>2</v>
      </c>
      <c r="H10" s="10" t="n">
        <f aca="false">(E10+4*F10+G10)/6</f>
        <v>1.08333333333333</v>
      </c>
    </row>
    <row r="11" customFormat="false" ht="15" hidden="false" customHeight="false" outlineLevel="0" collapsed="false">
      <c r="B11" s="12"/>
      <c r="C11" s="13" t="s">
        <v>100</v>
      </c>
      <c r="D11" s="13" t="s">
        <v>101</v>
      </c>
      <c r="E11" s="10" t="n">
        <v>0.5</v>
      </c>
      <c r="F11" s="10" t="n">
        <v>1</v>
      </c>
      <c r="G11" s="10" t="n">
        <v>2</v>
      </c>
      <c r="H11" s="10" t="n">
        <f aca="false">(E11+4*F11+G11)/6</f>
        <v>1.08333333333333</v>
      </c>
    </row>
    <row r="12" customFormat="false" ht="15" hidden="false" customHeight="false" outlineLevel="0" collapsed="false">
      <c r="B12" s="12"/>
      <c r="C12" s="13" t="s">
        <v>102</v>
      </c>
      <c r="D12" s="13" t="s">
        <v>103</v>
      </c>
      <c r="E12" s="10" t="n">
        <v>0.5</v>
      </c>
      <c r="F12" s="10" t="n">
        <v>1</v>
      </c>
      <c r="G12" s="10" t="n">
        <v>2</v>
      </c>
      <c r="H12" s="10" t="n">
        <f aca="false">(E12+4*F12+G12)/6</f>
        <v>1.08333333333333</v>
      </c>
    </row>
    <row r="13" customFormat="false" ht="15" hidden="false" customHeight="false" outlineLevel="0" collapsed="false">
      <c r="B13" s="12"/>
      <c r="C13" s="13" t="s">
        <v>104</v>
      </c>
      <c r="D13" s="13" t="s">
        <v>105</v>
      </c>
      <c r="E13" s="10" t="n">
        <v>0.5</v>
      </c>
      <c r="F13" s="10" t="n">
        <v>1</v>
      </c>
      <c r="G13" s="10" t="n">
        <v>2</v>
      </c>
      <c r="H13" s="10" t="n">
        <f aca="false">(E13+4*F13+G13)/6</f>
        <v>1.08333333333333</v>
      </c>
    </row>
    <row r="14" customFormat="false" ht="15" hidden="false" customHeight="false" outlineLevel="0" collapsed="false">
      <c r="B14" s="12"/>
      <c r="C14" s="13" t="s">
        <v>106</v>
      </c>
      <c r="D14" s="13" t="s">
        <v>107</v>
      </c>
      <c r="E14" s="10" t="n">
        <v>0.5</v>
      </c>
      <c r="F14" s="10" t="n">
        <v>1</v>
      </c>
      <c r="G14" s="10" t="n">
        <v>2</v>
      </c>
      <c r="H14" s="10" t="n">
        <f aca="false">(E14+4*F14+G14)/6</f>
        <v>1.08333333333333</v>
      </c>
    </row>
    <row r="15" customFormat="false" ht="15" hidden="false" customHeight="true" outlineLevel="0" collapsed="false">
      <c r="B15" s="12" t="s">
        <v>108</v>
      </c>
      <c r="C15" s="13" t="s">
        <v>109</v>
      </c>
      <c r="D15" s="13" t="s">
        <v>110</v>
      </c>
      <c r="E15" s="10" t="n">
        <v>0.5</v>
      </c>
      <c r="F15" s="10" t="n">
        <v>1</v>
      </c>
      <c r="G15" s="10" t="n">
        <v>2</v>
      </c>
      <c r="H15" s="10" t="n">
        <f aca="false">(E15+4*F15+G15)/6</f>
        <v>1.08333333333333</v>
      </c>
    </row>
    <row r="16" customFormat="false" ht="15" hidden="false" customHeight="false" outlineLevel="0" collapsed="false">
      <c r="B16" s="12"/>
      <c r="C16" s="13" t="s">
        <v>111</v>
      </c>
      <c r="D16" s="13" t="s">
        <v>112</v>
      </c>
      <c r="E16" s="10" t="n">
        <v>0.5</v>
      </c>
      <c r="F16" s="10" t="n">
        <v>1</v>
      </c>
      <c r="G16" s="10" t="n">
        <v>2</v>
      </c>
      <c r="H16" s="10" t="n">
        <f aca="false">(E16+4*F16+G16)/6</f>
        <v>1.08333333333333</v>
      </c>
    </row>
    <row r="17" customFormat="false" ht="15" hidden="false" customHeight="false" outlineLevel="0" collapsed="false">
      <c r="B17" s="12"/>
      <c r="C17" s="13" t="s">
        <v>113</v>
      </c>
      <c r="D17" s="13" t="s">
        <v>114</v>
      </c>
      <c r="E17" s="10" t="n">
        <v>0.5</v>
      </c>
      <c r="F17" s="10" t="n">
        <v>1</v>
      </c>
      <c r="G17" s="10" t="n">
        <v>2</v>
      </c>
      <c r="H17" s="10" t="n">
        <f aca="false">(E17+4*F17+G17)/6</f>
        <v>1.08333333333333</v>
      </c>
    </row>
    <row r="18" customFormat="false" ht="15" hidden="false" customHeight="false" outlineLevel="0" collapsed="false">
      <c r="B18" s="12"/>
      <c r="C18" s="13" t="s">
        <v>115</v>
      </c>
      <c r="D18" s="13" t="s">
        <v>116</v>
      </c>
      <c r="E18" s="10" t="n">
        <v>0.5</v>
      </c>
      <c r="F18" s="10" t="n">
        <v>1</v>
      </c>
      <c r="G18" s="10" t="n">
        <v>2</v>
      </c>
      <c r="H18" s="10" t="n">
        <f aca="false">(E18+4*F18+G18)/6</f>
        <v>1.08333333333333</v>
      </c>
    </row>
    <row r="19" customFormat="false" ht="15" hidden="false" customHeight="false" outlineLevel="0" collapsed="false">
      <c r="B19" s="12"/>
      <c r="C19" s="13" t="s">
        <v>117</v>
      </c>
      <c r="D19" s="13" t="s">
        <v>118</v>
      </c>
      <c r="E19" s="10" t="n">
        <v>0.5</v>
      </c>
      <c r="F19" s="10" t="n">
        <v>1</v>
      </c>
      <c r="G19" s="10" t="n">
        <v>2</v>
      </c>
      <c r="H19" s="10" t="n">
        <f aca="false">(E19+4*F19+G19)/6</f>
        <v>1.08333333333333</v>
      </c>
    </row>
    <row r="20" customFormat="false" ht="15" hidden="false" customHeight="false" outlineLevel="0" collapsed="false">
      <c r="B20" s="12"/>
      <c r="C20" s="13" t="s">
        <v>119</v>
      </c>
      <c r="D20" s="13" t="s">
        <v>120</v>
      </c>
      <c r="E20" s="10" t="n">
        <v>0.5</v>
      </c>
      <c r="F20" s="10" t="n">
        <v>1</v>
      </c>
      <c r="G20" s="10" t="n">
        <v>2</v>
      </c>
      <c r="H20" s="10" t="n">
        <f aca="false">(E20+4*F20+G20)/6</f>
        <v>1.08333333333333</v>
      </c>
    </row>
    <row r="21" customFormat="false" ht="15" hidden="false" customHeight="false" outlineLevel="0" collapsed="false">
      <c r="B21" s="12"/>
      <c r="C21" s="13" t="s">
        <v>121</v>
      </c>
      <c r="D21" s="13" t="s">
        <v>122</v>
      </c>
      <c r="E21" s="10" t="n">
        <v>0.5</v>
      </c>
      <c r="F21" s="10" t="n">
        <v>1</v>
      </c>
      <c r="G21" s="10" t="n">
        <v>2</v>
      </c>
      <c r="H21" s="10" t="n">
        <f aca="false">(E21+4*F21+G21)/6</f>
        <v>1.08333333333333</v>
      </c>
    </row>
    <row r="22" customFormat="false" ht="15" hidden="false" customHeight="true" outlineLevel="0" collapsed="false">
      <c r="B22" s="12" t="s">
        <v>123</v>
      </c>
      <c r="C22" s="13" t="s">
        <v>124</v>
      </c>
      <c r="D22" s="13" t="s">
        <v>125</v>
      </c>
      <c r="E22" s="10" t="n">
        <v>0.5</v>
      </c>
      <c r="F22" s="10" t="n">
        <v>1</v>
      </c>
      <c r="G22" s="10" t="n">
        <v>2</v>
      </c>
      <c r="H22" s="10" t="n">
        <f aca="false">(E22+4*F22+G22)/6</f>
        <v>1.08333333333333</v>
      </c>
    </row>
    <row r="23" customFormat="false" ht="15" hidden="false" customHeight="false" outlineLevel="0" collapsed="false">
      <c r="B23" s="12"/>
      <c r="C23" s="13" t="s">
        <v>126</v>
      </c>
      <c r="D23" s="13" t="s">
        <v>127</v>
      </c>
      <c r="E23" s="10" t="n">
        <v>0.5</v>
      </c>
      <c r="F23" s="10" t="n">
        <v>1</v>
      </c>
      <c r="G23" s="10" t="n">
        <v>2</v>
      </c>
      <c r="H23" s="10" t="n">
        <f aca="false">(E23+4*F23+G23)/6</f>
        <v>1.08333333333333</v>
      </c>
    </row>
    <row r="24" customFormat="false" ht="15" hidden="false" customHeight="false" outlineLevel="0" collapsed="false">
      <c r="B24" s="12"/>
      <c r="C24" s="13" t="s">
        <v>128</v>
      </c>
      <c r="D24" s="13" t="s">
        <v>129</v>
      </c>
      <c r="E24" s="10" t="n">
        <v>0.5</v>
      </c>
      <c r="F24" s="10" t="n">
        <v>1</v>
      </c>
      <c r="G24" s="10" t="n">
        <v>2</v>
      </c>
      <c r="H24" s="10" t="n">
        <f aca="false">(E24+4*F24+G24)/6</f>
        <v>1.08333333333333</v>
      </c>
    </row>
    <row r="25" customFormat="false" ht="15" hidden="false" customHeight="false" outlineLevel="0" collapsed="false">
      <c r="B25" s="12"/>
      <c r="C25" s="13" t="s">
        <v>130</v>
      </c>
      <c r="D25" s="13" t="s">
        <v>131</v>
      </c>
      <c r="E25" s="10" t="n">
        <v>0.5</v>
      </c>
      <c r="F25" s="10" t="n">
        <v>1</v>
      </c>
      <c r="G25" s="10" t="n">
        <v>2</v>
      </c>
      <c r="H25" s="10" t="n">
        <f aca="false">(E25+4*F25+G25)/6</f>
        <v>1.08333333333333</v>
      </c>
    </row>
    <row r="26" customFormat="false" ht="15" hidden="false" customHeight="false" outlineLevel="0" collapsed="false">
      <c r="B26" s="12"/>
      <c r="C26" s="13" t="s">
        <v>132</v>
      </c>
      <c r="D26" s="13" t="s">
        <v>133</v>
      </c>
      <c r="E26" s="10" t="n">
        <v>0.5</v>
      </c>
      <c r="F26" s="10" t="n">
        <v>1</v>
      </c>
      <c r="G26" s="10" t="n">
        <v>2</v>
      </c>
      <c r="H26" s="10" t="n">
        <f aca="false">(E26+4*F26+G26)/6</f>
        <v>1.08333333333333</v>
      </c>
    </row>
    <row r="27" customFormat="false" ht="15" hidden="false" customHeight="false" outlineLevel="0" collapsed="false">
      <c r="B27" s="12"/>
      <c r="C27" s="13" t="s">
        <v>134</v>
      </c>
      <c r="D27" s="13" t="s">
        <v>135</v>
      </c>
      <c r="E27" s="10" t="n">
        <v>0.5</v>
      </c>
      <c r="F27" s="10" t="n">
        <v>1</v>
      </c>
      <c r="G27" s="10" t="n">
        <v>2</v>
      </c>
      <c r="H27" s="10" t="n">
        <f aca="false">(E27+4*F27+G27)/6</f>
        <v>1.08333333333333</v>
      </c>
    </row>
    <row r="28" customFormat="false" ht="15" hidden="false" customHeight="false" outlineLevel="0" collapsed="false">
      <c r="B28" s="12"/>
      <c r="C28" s="13" t="s">
        <v>136</v>
      </c>
      <c r="D28" s="13" t="s">
        <v>137</v>
      </c>
      <c r="E28" s="10" t="n">
        <v>0.5</v>
      </c>
      <c r="F28" s="10" t="n">
        <v>1</v>
      </c>
      <c r="G28" s="10" t="n">
        <v>2</v>
      </c>
      <c r="H28" s="10" t="n">
        <f aca="false">(E28+4*F28+G28)/6</f>
        <v>1.08333333333333</v>
      </c>
    </row>
    <row r="29" customFormat="false" ht="15" hidden="false" customHeight="true" outlineLevel="0" collapsed="false">
      <c r="B29" s="12" t="s">
        <v>138</v>
      </c>
      <c r="C29" s="13" t="s">
        <v>139</v>
      </c>
      <c r="D29" s="13" t="s">
        <v>140</v>
      </c>
      <c r="E29" s="10" t="n">
        <v>0.5</v>
      </c>
      <c r="F29" s="10" t="n">
        <v>1</v>
      </c>
      <c r="G29" s="10" t="n">
        <v>2</v>
      </c>
      <c r="H29" s="10" t="n">
        <f aca="false">(E29+4*F29+G29)/6</f>
        <v>1.08333333333333</v>
      </c>
    </row>
    <row r="30" customFormat="false" ht="15" hidden="false" customHeight="false" outlineLevel="0" collapsed="false">
      <c r="B30" s="12"/>
      <c r="C30" s="13" t="s">
        <v>141</v>
      </c>
      <c r="D30" s="13" t="s">
        <v>142</v>
      </c>
      <c r="E30" s="10" t="n">
        <v>0.5</v>
      </c>
      <c r="F30" s="10" t="n">
        <v>1</v>
      </c>
      <c r="G30" s="10" t="n">
        <v>2</v>
      </c>
      <c r="H30" s="10" t="n">
        <f aca="false">(E30+4*F30+G30)/6</f>
        <v>1.08333333333333</v>
      </c>
    </row>
    <row r="31" customFormat="false" ht="15" hidden="false" customHeight="false" outlineLevel="0" collapsed="false">
      <c r="B31" s="12"/>
      <c r="C31" s="13" t="s">
        <v>143</v>
      </c>
      <c r="D31" s="13" t="s">
        <v>144</v>
      </c>
      <c r="E31" s="10" t="n">
        <v>0.5</v>
      </c>
      <c r="F31" s="10" t="n">
        <v>1</v>
      </c>
      <c r="G31" s="10" t="n">
        <v>2</v>
      </c>
      <c r="H31" s="10" t="n">
        <f aca="false">(E31+4*F31+G31)/6</f>
        <v>1.08333333333333</v>
      </c>
    </row>
    <row r="32" customFormat="false" ht="15" hidden="false" customHeight="false" outlineLevel="0" collapsed="false">
      <c r="B32" s="12"/>
      <c r="C32" s="13" t="s">
        <v>145</v>
      </c>
      <c r="D32" s="13" t="s">
        <v>146</v>
      </c>
      <c r="E32" s="10" t="n">
        <v>0.5</v>
      </c>
      <c r="F32" s="10" t="n">
        <v>1</v>
      </c>
      <c r="G32" s="10" t="n">
        <v>2</v>
      </c>
      <c r="H32" s="10" t="n">
        <f aca="false">(E32+4*F32+G32)/6</f>
        <v>1.08333333333333</v>
      </c>
    </row>
    <row r="33" customFormat="false" ht="15" hidden="false" customHeight="false" outlineLevel="0" collapsed="false">
      <c r="B33" s="12"/>
      <c r="C33" s="13" t="s">
        <v>96</v>
      </c>
      <c r="D33" s="13" t="s">
        <v>147</v>
      </c>
      <c r="E33" s="10" t="n">
        <v>0.5</v>
      </c>
      <c r="F33" s="10" t="n">
        <v>1</v>
      </c>
      <c r="G33" s="10" t="n">
        <v>2</v>
      </c>
      <c r="H33" s="10" t="n">
        <f aca="false">(E33+4*F33+G33)/6</f>
        <v>1.08333333333333</v>
      </c>
    </row>
    <row r="34" customFormat="false" ht="15" hidden="false" customHeight="false" outlineLevel="0" collapsed="false">
      <c r="B34" s="12"/>
      <c r="C34" s="13" t="s">
        <v>148</v>
      </c>
      <c r="D34" s="13" t="s">
        <v>149</v>
      </c>
      <c r="E34" s="10" t="n">
        <v>0.5</v>
      </c>
      <c r="F34" s="10" t="n">
        <v>1</v>
      </c>
      <c r="G34" s="10" t="n">
        <v>2</v>
      </c>
      <c r="H34" s="10" t="n">
        <f aca="false">(E34+4*F34+G34)/6</f>
        <v>1.08333333333333</v>
      </c>
    </row>
    <row r="35" customFormat="false" ht="15" hidden="false" customHeight="false" outlineLevel="0" collapsed="false">
      <c r="B35" s="12"/>
      <c r="C35" s="13" t="s">
        <v>150</v>
      </c>
      <c r="D35" s="13" t="s">
        <v>151</v>
      </c>
      <c r="E35" s="10" t="n">
        <v>0.5</v>
      </c>
      <c r="F35" s="10" t="n">
        <v>1</v>
      </c>
      <c r="G35" s="10" t="n">
        <v>2</v>
      </c>
      <c r="H35" s="10" t="n">
        <f aca="false">(E35+4*F35+G35)/6</f>
        <v>1.08333333333333</v>
      </c>
    </row>
    <row r="36" customFormat="false" ht="15" hidden="false" customHeight="false" outlineLevel="0" collapsed="false">
      <c r="B36" s="12"/>
      <c r="C36" s="13" t="s">
        <v>152</v>
      </c>
      <c r="D36" s="13" t="s">
        <v>153</v>
      </c>
      <c r="E36" s="10" t="n">
        <v>0.5</v>
      </c>
      <c r="F36" s="10" t="n">
        <v>1</v>
      </c>
      <c r="G36" s="10" t="n">
        <v>2</v>
      </c>
      <c r="H36" s="10" t="n">
        <f aca="false">(E36+4*F36+G36)/6</f>
        <v>1.08333333333333</v>
      </c>
    </row>
    <row r="37" customFormat="false" ht="15" hidden="false" customHeight="true" outlineLevel="0" collapsed="false">
      <c r="B37" s="12" t="s">
        <v>154</v>
      </c>
      <c r="C37" s="13" t="s">
        <v>155</v>
      </c>
      <c r="D37" s="13" t="s">
        <v>156</v>
      </c>
      <c r="E37" s="10" t="n">
        <v>0.5</v>
      </c>
      <c r="F37" s="10" t="n">
        <v>1</v>
      </c>
      <c r="G37" s="10" t="n">
        <v>2</v>
      </c>
      <c r="H37" s="10" t="n">
        <f aca="false">(E37+4*F37+G37)/6</f>
        <v>1.08333333333333</v>
      </c>
    </row>
    <row r="38" customFormat="false" ht="15" hidden="false" customHeight="false" outlineLevel="0" collapsed="false">
      <c r="B38" s="12"/>
      <c r="C38" s="13" t="s">
        <v>157</v>
      </c>
      <c r="D38" s="13" t="s">
        <v>158</v>
      </c>
      <c r="E38" s="10" t="n">
        <v>0.5</v>
      </c>
      <c r="F38" s="10" t="n">
        <v>1</v>
      </c>
      <c r="G38" s="10" t="n">
        <v>2</v>
      </c>
      <c r="H38" s="10" t="n">
        <f aca="false">(E38+4*F38+G38)/6</f>
        <v>1.08333333333333</v>
      </c>
    </row>
    <row r="39" customFormat="false" ht="15" hidden="false" customHeight="false" outlineLevel="0" collapsed="false">
      <c r="B39" s="12"/>
      <c r="C39" s="13" t="s">
        <v>159</v>
      </c>
      <c r="D39" s="13" t="s">
        <v>160</v>
      </c>
      <c r="E39" s="10" t="n">
        <v>0.5</v>
      </c>
      <c r="F39" s="10" t="n">
        <v>1</v>
      </c>
      <c r="G39" s="10" t="n">
        <v>2</v>
      </c>
      <c r="H39" s="10" t="n">
        <f aca="false">(E39+4*F39+G39)/6</f>
        <v>1.08333333333333</v>
      </c>
    </row>
    <row r="40" customFormat="false" ht="15" hidden="false" customHeight="false" outlineLevel="0" collapsed="false">
      <c r="B40" s="12"/>
      <c r="C40" s="13" t="s">
        <v>161</v>
      </c>
      <c r="D40" s="13" t="s">
        <v>162</v>
      </c>
      <c r="E40" s="10" t="n">
        <v>0.5</v>
      </c>
      <c r="F40" s="10" t="n">
        <v>1</v>
      </c>
      <c r="G40" s="10" t="n">
        <v>2</v>
      </c>
      <c r="H40" s="10" t="n">
        <f aca="false">(E40+4*F40+G40)/6</f>
        <v>1.08333333333333</v>
      </c>
    </row>
    <row r="41" customFormat="false" ht="15" hidden="false" customHeight="false" outlineLevel="0" collapsed="false">
      <c r="B41" s="12"/>
      <c r="C41" s="13" t="s">
        <v>163</v>
      </c>
      <c r="D41" s="13" t="s">
        <v>164</v>
      </c>
      <c r="E41" s="10" t="n">
        <v>0.5</v>
      </c>
      <c r="F41" s="10" t="n">
        <v>1</v>
      </c>
      <c r="G41" s="10" t="n">
        <v>2</v>
      </c>
      <c r="H41" s="10" t="n">
        <f aca="false">(E41+4*F41+G41)/6</f>
        <v>1.08333333333333</v>
      </c>
    </row>
    <row r="42" customFormat="false" ht="15" hidden="false" customHeight="false" outlineLevel="0" collapsed="false">
      <c r="B42" s="12"/>
      <c r="C42" s="13" t="s">
        <v>165</v>
      </c>
      <c r="D42" s="13" t="s">
        <v>166</v>
      </c>
      <c r="E42" s="10" t="n">
        <v>0.5</v>
      </c>
      <c r="F42" s="10" t="n">
        <v>1</v>
      </c>
      <c r="G42" s="10" t="n">
        <v>2</v>
      </c>
      <c r="H42" s="10" t="n">
        <f aca="false">(E42+4*F42+G42)/6</f>
        <v>1.08333333333333</v>
      </c>
    </row>
    <row r="43" customFormat="false" ht="15" hidden="false" customHeight="true" outlineLevel="0" collapsed="false">
      <c r="B43" s="12" t="s">
        <v>167</v>
      </c>
      <c r="C43" s="13" t="s">
        <v>168</v>
      </c>
      <c r="D43" s="13" t="s">
        <v>169</v>
      </c>
      <c r="E43" s="10" t="n">
        <v>0.5</v>
      </c>
      <c r="F43" s="10" t="n">
        <v>1</v>
      </c>
      <c r="G43" s="10" t="n">
        <v>2</v>
      </c>
      <c r="H43" s="10" t="n">
        <f aca="false">(E43+4*F43+G43)/6</f>
        <v>1.08333333333333</v>
      </c>
    </row>
    <row r="44" customFormat="false" ht="15" hidden="false" customHeight="false" outlineLevel="0" collapsed="false">
      <c r="B44" s="12"/>
      <c r="C44" s="13" t="s">
        <v>170</v>
      </c>
      <c r="D44" s="13" t="s">
        <v>171</v>
      </c>
      <c r="E44" s="10" t="n">
        <v>0.5</v>
      </c>
      <c r="F44" s="10" t="n">
        <v>1</v>
      </c>
      <c r="G44" s="10" t="n">
        <v>2</v>
      </c>
      <c r="H44" s="10" t="n">
        <f aca="false">(E44+4*F44+G44)/6</f>
        <v>1.08333333333333</v>
      </c>
    </row>
    <row r="45" customFormat="false" ht="15" hidden="false" customHeight="false" outlineLevel="0" collapsed="false">
      <c r="B45" s="12"/>
      <c r="C45" s="13" t="s">
        <v>100</v>
      </c>
      <c r="D45" s="13" t="s">
        <v>172</v>
      </c>
      <c r="E45" s="10" t="n">
        <v>0.5</v>
      </c>
      <c r="F45" s="10" t="n">
        <v>1</v>
      </c>
      <c r="G45" s="10" t="n">
        <v>2</v>
      </c>
      <c r="H45" s="10" t="n">
        <f aca="false">(E45+4*F45+G45)/6</f>
        <v>1.08333333333333</v>
      </c>
    </row>
    <row r="46" customFormat="false" ht="15" hidden="false" customHeight="false" outlineLevel="0" collapsed="false">
      <c r="B46" s="12"/>
      <c r="C46" s="13" t="s">
        <v>173</v>
      </c>
      <c r="D46" s="13" t="s">
        <v>174</v>
      </c>
      <c r="E46" s="10" t="n">
        <v>0.5</v>
      </c>
      <c r="F46" s="10" t="n">
        <v>1</v>
      </c>
      <c r="G46" s="10" t="n">
        <v>2</v>
      </c>
      <c r="H46" s="10" t="n">
        <f aca="false">(E46+4*F46+G46)/6</f>
        <v>1.08333333333333</v>
      </c>
    </row>
    <row r="47" customFormat="false" ht="15" hidden="false" customHeight="false" outlineLevel="0" collapsed="false">
      <c r="B47" s="12"/>
      <c r="C47" s="13" t="s">
        <v>175</v>
      </c>
      <c r="D47" s="13" t="s">
        <v>176</v>
      </c>
      <c r="E47" s="10" t="n">
        <v>0.5</v>
      </c>
      <c r="F47" s="10" t="n">
        <v>1</v>
      </c>
      <c r="G47" s="10" t="n">
        <v>2</v>
      </c>
      <c r="H47" s="10" t="n">
        <f aca="false">(E47+4*F47+G47)/6</f>
        <v>1.08333333333333</v>
      </c>
    </row>
    <row r="48" customFormat="false" ht="15" hidden="false" customHeight="false" outlineLevel="0" collapsed="false">
      <c r="B48" s="12"/>
      <c r="C48" s="13" t="s">
        <v>177</v>
      </c>
      <c r="D48" s="13" t="s">
        <v>178</v>
      </c>
      <c r="E48" s="10" t="n">
        <v>0.5</v>
      </c>
      <c r="F48" s="10" t="n">
        <v>1</v>
      </c>
      <c r="G48" s="10" t="n">
        <v>2</v>
      </c>
      <c r="H48" s="10" t="n">
        <f aca="false">(E48+4*F48+G48)/6</f>
        <v>1.08333333333333</v>
      </c>
    </row>
    <row r="49" customFormat="false" ht="15" hidden="false" customHeight="true" outlineLevel="0" collapsed="false">
      <c r="B49" s="12" t="s">
        <v>179</v>
      </c>
      <c r="C49" s="13" t="s">
        <v>180</v>
      </c>
      <c r="D49" s="13" t="s">
        <v>181</v>
      </c>
      <c r="E49" s="10" t="n">
        <v>0.5</v>
      </c>
      <c r="F49" s="10" t="n">
        <v>1</v>
      </c>
      <c r="G49" s="10" t="n">
        <v>2</v>
      </c>
      <c r="H49" s="10" t="n">
        <f aca="false">(E49+4*F49+G49)/6</f>
        <v>1.08333333333333</v>
      </c>
    </row>
    <row r="50" customFormat="false" ht="15" hidden="false" customHeight="false" outlineLevel="0" collapsed="false">
      <c r="B50" s="12"/>
      <c r="C50" s="13" t="s">
        <v>182</v>
      </c>
      <c r="D50" s="13" t="s">
        <v>126</v>
      </c>
      <c r="E50" s="10" t="n">
        <v>0.5</v>
      </c>
      <c r="F50" s="10" t="n">
        <v>1</v>
      </c>
      <c r="G50" s="10" t="n">
        <v>2</v>
      </c>
      <c r="H50" s="10" t="n">
        <f aca="false">(E50+4*F50+G50)/6</f>
        <v>1.08333333333333</v>
      </c>
    </row>
    <row r="51" customFormat="false" ht="15" hidden="false" customHeight="false" outlineLevel="0" collapsed="false">
      <c r="B51" s="12"/>
      <c r="C51" s="13" t="s">
        <v>183</v>
      </c>
      <c r="D51" s="13" t="s">
        <v>184</v>
      </c>
      <c r="E51" s="10" t="n">
        <v>0.5</v>
      </c>
      <c r="F51" s="10" t="n">
        <v>1</v>
      </c>
      <c r="G51" s="10" t="n">
        <v>2</v>
      </c>
      <c r="H51" s="10" t="n">
        <f aca="false">(E51+4*F51+G51)/6</f>
        <v>1.08333333333333</v>
      </c>
    </row>
    <row r="52" customFormat="false" ht="15" hidden="false" customHeight="false" outlineLevel="0" collapsed="false">
      <c r="B52" s="12"/>
      <c r="C52" s="13" t="s">
        <v>185</v>
      </c>
      <c r="D52" s="13" t="s">
        <v>186</v>
      </c>
      <c r="E52" s="10" t="n">
        <v>0.5</v>
      </c>
      <c r="F52" s="10" t="n">
        <v>1</v>
      </c>
      <c r="G52" s="10" t="n">
        <v>2</v>
      </c>
      <c r="H52" s="10" t="n">
        <f aca="false">(E52+4*F52+G52)/6</f>
        <v>1.08333333333333</v>
      </c>
    </row>
    <row r="53" customFormat="false" ht="15" hidden="false" customHeight="true" outlineLevel="0" collapsed="false">
      <c r="B53" s="12" t="s">
        <v>187</v>
      </c>
      <c r="C53" s="13" t="s">
        <v>157</v>
      </c>
      <c r="D53" s="13" t="s">
        <v>188</v>
      </c>
      <c r="E53" s="10" t="n">
        <v>0.5</v>
      </c>
      <c r="F53" s="10" t="n">
        <v>1</v>
      </c>
      <c r="G53" s="10" t="n">
        <v>2</v>
      </c>
      <c r="H53" s="10" t="n">
        <f aca="false">(E53+4*F53+G53)/6</f>
        <v>1.08333333333333</v>
      </c>
    </row>
    <row r="54" customFormat="false" ht="15" hidden="false" customHeight="false" outlineLevel="0" collapsed="false">
      <c r="B54" s="12"/>
      <c r="C54" s="13" t="s">
        <v>189</v>
      </c>
      <c r="D54" s="13" t="s">
        <v>190</v>
      </c>
      <c r="E54" s="10" t="n">
        <v>0.5</v>
      </c>
      <c r="F54" s="10" t="n">
        <v>1</v>
      </c>
      <c r="G54" s="10" t="n">
        <v>2</v>
      </c>
      <c r="H54" s="10" t="n">
        <f aca="false">(E54+4*F54+G54)/6</f>
        <v>1.08333333333333</v>
      </c>
    </row>
    <row r="55" customFormat="false" ht="15" hidden="false" customHeight="false" outlineLevel="0" collapsed="false">
      <c r="B55" s="12"/>
      <c r="C55" s="13" t="s">
        <v>191</v>
      </c>
      <c r="D55" s="13" t="s">
        <v>192</v>
      </c>
      <c r="E55" s="10" t="n">
        <v>0.5</v>
      </c>
      <c r="F55" s="10" t="n">
        <v>1</v>
      </c>
      <c r="G55" s="10" t="n">
        <v>2</v>
      </c>
      <c r="H55" s="10" t="n">
        <f aca="false">(E55+4*F55+G55)/6</f>
        <v>1.08333333333333</v>
      </c>
    </row>
    <row r="56" customFormat="false" ht="15" hidden="false" customHeight="false" outlineLevel="0" collapsed="false">
      <c r="B56" s="12"/>
      <c r="C56" s="13" t="s">
        <v>193</v>
      </c>
      <c r="D56" s="13" t="s">
        <v>194</v>
      </c>
      <c r="E56" s="10" t="n">
        <v>0.5</v>
      </c>
      <c r="F56" s="10" t="n">
        <v>1</v>
      </c>
      <c r="G56" s="10" t="n">
        <v>2</v>
      </c>
      <c r="H56" s="10" t="n">
        <f aca="false">(E56+4*F56+G56)/6</f>
        <v>1.08333333333333</v>
      </c>
    </row>
    <row r="57" customFormat="false" ht="15" hidden="false" customHeight="false" outlineLevel="0" collapsed="false">
      <c r="B57" s="12"/>
      <c r="C57" s="13" t="s">
        <v>195</v>
      </c>
      <c r="D57" s="13" t="s">
        <v>196</v>
      </c>
      <c r="E57" s="10" t="n">
        <v>0.5</v>
      </c>
      <c r="F57" s="10" t="n">
        <v>1</v>
      </c>
      <c r="G57" s="10" t="n">
        <v>2</v>
      </c>
      <c r="H57" s="10" t="n">
        <f aca="false">(E57+4*F57+G57)/6</f>
        <v>1.08333333333333</v>
      </c>
    </row>
    <row r="58" customFormat="false" ht="15" hidden="false" customHeight="true" outlineLevel="0" collapsed="false">
      <c r="B58" s="12" t="s">
        <v>197</v>
      </c>
      <c r="C58" s="13" t="s">
        <v>198</v>
      </c>
      <c r="D58" s="13" t="s">
        <v>199</v>
      </c>
      <c r="E58" s="10" t="n">
        <v>0.5</v>
      </c>
      <c r="F58" s="10" t="n">
        <v>1</v>
      </c>
      <c r="G58" s="10" t="n">
        <v>2</v>
      </c>
      <c r="H58" s="10" t="n">
        <f aca="false">(E58+4*F58+G58)/6</f>
        <v>1.08333333333333</v>
      </c>
    </row>
    <row r="59" customFormat="false" ht="15" hidden="false" customHeight="false" outlineLevel="0" collapsed="false">
      <c r="B59" s="12"/>
      <c r="C59" s="13" t="s">
        <v>136</v>
      </c>
      <c r="D59" s="13" t="s">
        <v>200</v>
      </c>
      <c r="E59" s="10" t="n">
        <v>0.5</v>
      </c>
      <c r="F59" s="10" t="n">
        <v>1</v>
      </c>
      <c r="G59" s="10" t="n">
        <v>2</v>
      </c>
      <c r="H59" s="10" t="n">
        <f aca="false">(E59+4*F59+G59)/6</f>
        <v>1.08333333333333</v>
      </c>
    </row>
    <row r="60" customFormat="false" ht="15" hidden="false" customHeight="false" outlineLevel="0" collapsed="false">
      <c r="B60" s="12"/>
      <c r="C60" s="13" t="s">
        <v>201</v>
      </c>
      <c r="D60" s="13" t="s">
        <v>202</v>
      </c>
      <c r="E60" s="10" t="n">
        <v>0.5</v>
      </c>
      <c r="F60" s="10" t="n">
        <v>1</v>
      </c>
      <c r="G60" s="10" t="n">
        <v>2</v>
      </c>
      <c r="H60" s="10" t="n">
        <f aca="false">(E60+4*F60+G60)/6</f>
        <v>1.08333333333333</v>
      </c>
    </row>
    <row r="61" customFormat="false" ht="15" hidden="false" customHeight="false" outlineLevel="0" collapsed="false">
      <c r="B61" s="12"/>
      <c r="C61" s="13" t="s">
        <v>152</v>
      </c>
      <c r="D61" s="13" t="s">
        <v>203</v>
      </c>
      <c r="E61" s="10" t="n">
        <v>0.5</v>
      </c>
      <c r="F61" s="10" t="n">
        <v>1</v>
      </c>
      <c r="G61" s="10" t="n">
        <v>2</v>
      </c>
      <c r="H61" s="10" t="n">
        <f aca="false">(E61+4*F61+G61)/6</f>
        <v>1.08333333333333</v>
      </c>
    </row>
    <row r="62" customFormat="false" ht="15" hidden="false" customHeight="false" outlineLevel="0" collapsed="false">
      <c r="B62" s="12"/>
      <c r="C62" s="13" t="s">
        <v>204</v>
      </c>
      <c r="D62" s="13" t="s">
        <v>205</v>
      </c>
      <c r="E62" s="10" t="n">
        <v>0.5</v>
      </c>
      <c r="F62" s="10" t="n">
        <v>1</v>
      </c>
      <c r="G62" s="10" t="n">
        <v>2</v>
      </c>
      <c r="H62" s="10" t="n">
        <f aca="false">(E62+4*F62+G62)/6</f>
        <v>1.08333333333333</v>
      </c>
    </row>
    <row r="63" customFormat="false" ht="15" hidden="false" customHeight="true" outlineLevel="0" collapsed="false">
      <c r="B63" s="12" t="s">
        <v>206</v>
      </c>
      <c r="C63" s="13" t="s">
        <v>207</v>
      </c>
      <c r="D63" s="13" t="s">
        <v>208</v>
      </c>
      <c r="E63" s="10" t="n">
        <v>0.5</v>
      </c>
      <c r="F63" s="10" t="n">
        <v>1</v>
      </c>
      <c r="G63" s="10" t="n">
        <v>2</v>
      </c>
      <c r="H63" s="10" t="n">
        <f aca="false">(E63+4*F63+G63)/6</f>
        <v>1.08333333333333</v>
      </c>
    </row>
    <row r="64" customFormat="false" ht="15" hidden="false" customHeight="false" outlineLevel="0" collapsed="false">
      <c r="B64" s="12"/>
      <c r="C64" s="13" t="s">
        <v>155</v>
      </c>
      <c r="D64" s="13" t="s">
        <v>209</v>
      </c>
      <c r="E64" s="10" t="n">
        <v>0.5</v>
      </c>
      <c r="F64" s="10" t="n">
        <v>1</v>
      </c>
      <c r="G64" s="10" t="n">
        <v>2</v>
      </c>
      <c r="H64" s="10" t="n">
        <f aca="false">(E64+4*F64+G64)/6</f>
        <v>1.08333333333333</v>
      </c>
    </row>
    <row r="65" customFormat="false" ht="15" hidden="false" customHeight="false" outlineLevel="0" collapsed="false">
      <c r="B65" s="12"/>
      <c r="C65" s="13" t="s">
        <v>210</v>
      </c>
      <c r="D65" s="13" t="s">
        <v>211</v>
      </c>
      <c r="E65" s="10" t="n">
        <v>0.5</v>
      </c>
      <c r="F65" s="10" t="n">
        <v>1</v>
      </c>
      <c r="G65" s="10" t="n">
        <v>2</v>
      </c>
      <c r="H65" s="10" t="n">
        <f aca="false">(E65+4*F65+G65)/6</f>
        <v>1.08333333333333</v>
      </c>
    </row>
    <row r="66" customFormat="false" ht="15" hidden="false" customHeight="false" outlineLevel="0" collapsed="false">
      <c r="B66" s="12"/>
      <c r="C66" s="13" t="s">
        <v>212</v>
      </c>
      <c r="D66" s="13" t="s">
        <v>213</v>
      </c>
      <c r="E66" s="10" t="n">
        <v>0.5</v>
      </c>
      <c r="F66" s="10" t="n">
        <v>1</v>
      </c>
      <c r="G66" s="10" t="n">
        <v>2</v>
      </c>
      <c r="H66" s="10" t="n">
        <f aca="false">(E66+4*F66+G66)/6</f>
        <v>1.08333333333333</v>
      </c>
    </row>
    <row r="67" customFormat="false" ht="15" hidden="false" customHeight="false" outlineLevel="0" collapsed="false">
      <c r="B67" s="12"/>
      <c r="C67" s="13" t="s">
        <v>214</v>
      </c>
      <c r="D67" s="14"/>
      <c r="E67" s="10" t="n">
        <v>0.5</v>
      </c>
      <c r="F67" s="10" t="n">
        <v>1</v>
      </c>
      <c r="G67" s="10" t="n">
        <v>2</v>
      </c>
      <c r="H67" s="10" t="n">
        <f aca="false">(E67+4*F67+G67)/6</f>
        <v>1.08333333333333</v>
      </c>
    </row>
    <row r="68" customFormat="false" ht="15" hidden="false" customHeight="true" outlineLevel="0" collapsed="false">
      <c r="B68" s="12" t="s">
        <v>215</v>
      </c>
      <c r="C68" s="13" t="s">
        <v>216</v>
      </c>
      <c r="D68" s="13" t="s">
        <v>217</v>
      </c>
      <c r="E68" s="10" t="n">
        <v>0.5</v>
      </c>
      <c r="F68" s="10" t="n">
        <v>1</v>
      </c>
      <c r="G68" s="10" t="n">
        <v>2</v>
      </c>
      <c r="H68" s="10" t="n">
        <f aca="false">(E68+4*F68+G68)/6</f>
        <v>1.08333333333333</v>
      </c>
    </row>
    <row r="69" customFormat="false" ht="15" hidden="false" customHeight="false" outlineLevel="0" collapsed="false">
      <c r="B69" s="12"/>
      <c r="C69" s="13" t="s">
        <v>218</v>
      </c>
      <c r="D69" s="13" t="s">
        <v>219</v>
      </c>
      <c r="E69" s="10" t="n">
        <v>0.5</v>
      </c>
      <c r="F69" s="10" t="n">
        <v>1</v>
      </c>
      <c r="G69" s="10" t="n">
        <v>2</v>
      </c>
      <c r="H69" s="10" t="n">
        <f aca="false">(E69+4*F69+G69)/6</f>
        <v>1.08333333333333</v>
      </c>
    </row>
    <row r="70" customFormat="false" ht="15" hidden="false" customHeight="false" outlineLevel="0" collapsed="false">
      <c r="B70" s="12"/>
      <c r="C70" s="13" t="s">
        <v>220</v>
      </c>
      <c r="D70" s="13" t="s">
        <v>221</v>
      </c>
      <c r="E70" s="10" t="n">
        <v>0.5</v>
      </c>
      <c r="F70" s="10" t="n">
        <v>1</v>
      </c>
      <c r="G70" s="10" t="n">
        <v>2</v>
      </c>
      <c r="H70" s="10" t="n">
        <f aca="false">(E70+4*F70+G70)/6</f>
        <v>1.08333333333333</v>
      </c>
    </row>
    <row r="71" customFormat="false" ht="15" hidden="false" customHeight="false" outlineLevel="0" collapsed="false">
      <c r="B71" s="12"/>
      <c r="C71" s="13" t="s">
        <v>222</v>
      </c>
      <c r="D71" s="13" t="s">
        <v>223</v>
      </c>
      <c r="E71" s="10" t="n">
        <v>0.5</v>
      </c>
      <c r="F71" s="10" t="n">
        <v>1</v>
      </c>
      <c r="G71" s="10" t="n">
        <v>2</v>
      </c>
      <c r="H71" s="10" t="n">
        <f aca="false">(E71+4*F71+G71)/6</f>
        <v>1.08333333333333</v>
      </c>
    </row>
    <row r="72" customFormat="false" ht="15" hidden="false" customHeight="false" outlineLevel="0" collapsed="false">
      <c r="B72" s="12"/>
      <c r="C72" s="13" t="s">
        <v>224</v>
      </c>
      <c r="D72" s="13" t="s">
        <v>225</v>
      </c>
      <c r="E72" s="10" t="n">
        <v>0.5</v>
      </c>
      <c r="F72" s="10" t="n">
        <v>1</v>
      </c>
      <c r="G72" s="10" t="n">
        <v>2</v>
      </c>
      <c r="H72" s="10" t="n">
        <f aca="false">(E72+4*F72+G72)/6</f>
        <v>1.08333333333333</v>
      </c>
    </row>
    <row r="73" customFormat="false" ht="15" hidden="false" customHeight="false" outlineLevel="0" collapsed="false">
      <c r="B73" s="12"/>
      <c r="C73" s="13" t="s">
        <v>226</v>
      </c>
      <c r="D73" s="13" t="s">
        <v>227</v>
      </c>
      <c r="E73" s="10" t="n">
        <v>0.5</v>
      </c>
      <c r="F73" s="10" t="n">
        <v>1</v>
      </c>
      <c r="G73" s="10" t="n">
        <v>2</v>
      </c>
      <c r="H73" s="10" t="n">
        <f aca="false">(E73+4*F73+G73)/6</f>
        <v>1.08333333333333</v>
      </c>
    </row>
    <row r="74" customFormat="false" ht="15" hidden="false" customHeight="false" outlineLevel="0" collapsed="false">
      <c r="B74" s="12"/>
      <c r="C74" s="13" t="s">
        <v>228</v>
      </c>
      <c r="D74" s="13" t="s">
        <v>229</v>
      </c>
      <c r="E74" s="10" t="n">
        <v>0.5</v>
      </c>
      <c r="F74" s="10" t="n">
        <v>1</v>
      </c>
      <c r="G74" s="10" t="n">
        <v>2</v>
      </c>
      <c r="H74" s="10" t="n">
        <f aca="false">(E74+4*F74+G74)/6</f>
        <v>1.08333333333333</v>
      </c>
    </row>
    <row r="75" customFormat="false" ht="15" hidden="false" customHeight="true" outlineLevel="0" collapsed="false">
      <c r="B75" s="12" t="s">
        <v>230</v>
      </c>
      <c r="C75" s="13" t="s">
        <v>231</v>
      </c>
      <c r="D75" s="13" t="s">
        <v>232</v>
      </c>
      <c r="E75" s="10" t="n">
        <v>0.5</v>
      </c>
      <c r="F75" s="10" t="n">
        <v>1</v>
      </c>
      <c r="G75" s="10" t="n">
        <v>2</v>
      </c>
      <c r="H75" s="10" t="n">
        <f aca="false">(E75+4*F75+G75)/6</f>
        <v>1.08333333333333</v>
      </c>
    </row>
    <row r="76" customFormat="false" ht="15" hidden="false" customHeight="false" outlineLevel="0" collapsed="false">
      <c r="B76" s="12"/>
      <c r="C76" s="13" t="s">
        <v>233</v>
      </c>
      <c r="D76" s="13" t="s">
        <v>234</v>
      </c>
      <c r="E76" s="10" t="n">
        <v>0.5</v>
      </c>
      <c r="F76" s="10" t="n">
        <v>1</v>
      </c>
      <c r="G76" s="10" t="n">
        <v>2</v>
      </c>
      <c r="H76" s="10" t="n">
        <f aca="false">(E76+4*F76+G76)/6</f>
        <v>1.08333333333333</v>
      </c>
    </row>
    <row r="77" customFormat="false" ht="15" hidden="false" customHeight="false" outlineLevel="0" collapsed="false">
      <c r="B77" s="12"/>
      <c r="C77" s="13" t="s">
        <v>235</v>
      </c>
      <c r="D77" s="13" t="s">
        <v>236</v>
      </c>
      <c r="E77" s="10" t="n">
        <v>0.5</v>
      </c>
      <c r="F77" s="10" t="n">
        <v>1</v>
      </c>
      <c r="G77" s="10" t="n">
        <v>2</v>
      </c>
      <c r="H77" s="10" t="n">
        <f aca="false">(E77+4*F77+G77)/6</f>
        <v>1.08333333333333</v>
      </c>
    </row>
    <row r="78" customFormat="false" ht="15" hidden="false" customHeight="false" outlineLevel="0" collapsed="false">
      <c r="B78" s="12"/>
      <c r="C78" s="13" t="s">
        <v>237</v>
      </c>
      <c r="D78" s="13" t="s">
        <v>238</v>
      </c>
      <c r="E78" s="10" t="n">
        <v>0.5</v>
      </c>
      <c r="F78" s="10" t="n">
        <v>1</v>
      </c>
      <c r="G78" s="10" t="n">
        <v>2</v>
      </c>
      <c r="H78" s="10" t="n">
        <f aca="false">(E78+4*F78+G78)/6</f>
        <v>1.08333333333333</v>
      </c>
    </row>
    <row r="79" customFormat="false" ht="15" hidden="false" customHeight="true" outlineLevel="0" collapsed="false">
      <c r="B79" s="12" t="s">
        <v>239</v>
      </c>
      <c r="C79" s="13" t="s">
        <v>180</v>
      </c>
      <c r="D79" s="13" t="s">
        <v>240</v>
      </c>
      <c r="E79" s="10" t="n">
        <v>0.25</v>
      </c>
      <c r="F79" s="10" t="n">
        <v>0.5</v>
      </c>
      <c r="G79" s="10" t="n">
        <v>1</v>
      </c>
      <c r="H79" s="10" t="n">
        <f aca="false">(E79+4*F79+G79)/6</f>
        <v>0.541666666666667</v>
      </c>
    </row>
    <row r="80" customFormat="false" ht="15" hidden="false" customHeight="false" outlineLevel="0" collapsed="false">
      <c r="B80" s="12"/>
      <c r="C80" s="13" t="s">
        <v>182</v>
      </c>
      <c r="D80" s="13" t="s">
        <v>241</v>
      </c>
      <c r="E80" s="10" t="n">
        <v>0.25</v>
      </c>
      <c r="F80" s="10" t="n">
        <v>0.5</v>
      </c>
      <c r="G80" s="10" t="n">
        <v>1</v>
      </c>
      <c r="H80" s="10" t="n">
        <f aca="false">(E80+4*F80+G80)/6</f>
        <v>0.541666666666667</v>
      </c>
    </row>
    <row r="81" customFormat="false" ht="15" hidden="false" customHeight="false" outlineLevel="0" collapsed="false">
      <c r="B81" s="12"/>
      <c r="C81" s="13" t="s">
        <v>183</v>
      </c>
      <c r="D81" s="13" t="s">
        <v>242</v>
      </c>
      <c r="E81" s="10" t="n">
        <v>0.25</v>
      </c>
      <c r="F81" s="10" t="n">
        <v>0.5</v>
      </c>
      <c r="G81" s="10" t="n">
        <v>1</v>
      </c>
      <c r="H81" s="10" t="n">
        <f aca="false">(E81+4*F81+G81)/6</f>
        <v>0.541666666666667</v>
      </c>
    </row>
    <row r="82" customFormat="false" ht="15" hidden="false" customHeight="false" outlineLevel="0" collapsed="false">
      <c r="B82" s="12"/>
      <c r="C82" s="13" t="s">
        <v>185</v>
      </c>
      <c r="D82" s="13" t="s">
        <v>243</v>
      </c>
      <c r="E82" s="10" t="n">
        <v>0.25</v>
      </c>
      <c r="F82" s="10" t="n">
        <v>0.5</v>
      </c>
      <c r="G82" s="10" t="n">
        <v>1</v>
      </c>
      <c r="H82" s="10" t="n">
        <f aca="false">(E82+4*F82+G82)/6</f>
        <v>0.541666666666667</v>
      </c>
    </row>
    <row r="83" customFormat="false" ht="15" hidden="false" customHeight="false" outlineLevel="0" collapsed="false">
      <c r="B83" s="12"/>
      <c r="C83" s="13" t="s">
        <v>244</v>
      </c>
      <c r="D83" s="13" t="s">
        <v>245</v>
      </c>
      <c r="E83" s="10" t="n">
        <v>0.25</v>
      </c>
      <c r="F83" s="10" t="n">
        <v>0.5</v>
      </c>
      <c r="G83" s="10" t="n">
        <v>1</v>
      </c>
      <c r="H83" s="10" t="n">
        <f aca="false">(E83+4*F83+G83)/6</f>
        <v>0.541666666666667</v>
      </c>
    </row>
    <row r="84" customFormat="false" ht="15" hidden="false" customHeight="false" outlineLevel="0" collapsed="false">
      <c r="B84" s="12"/>
      <c r="C84" s="13" t="s">
        <v>246</v>
      </c>
      <c r="D84" s="13" t="s">
        <v>247</v>
      </c>
      <c r="E84" s="10" t="n">
        <v>0.25</v>
      </c>
      <c r="F84" s="10" t="n">
        <v>0.5</v>
      </c>
      <c r="G84" s="10" t="n">
        <v>1</v>
      </c>
      <c r="H84" s="10" t="n">
        <f aca="false">(E84+4*F84+G84)/6</f>
        <v>0.541666666666667</v>
      </c>
    </row>
    <row r="85" customFormat="false" ht="15" hidden="false" customHeight="false" outlineLevel="0" collapsed="false">
      <c r="B85" s="12"/>
      <c r="C85" s="13" t="s">
        <v>248</v>
      </c>
      <c r="D85" s="13" t="s">
        <v>249</v>
      </c>
      <c r="E85" s="10" t="n">
        <v>0.25</v>
      </c>
      <c r="F85" s="10" t="n">
        <v>0.5</v>
      </c>
      <c r="G85" s="10" t="n">
        <v>1</v>
      </c>
      <c r="H85" s="10" t="n">
        <f aca="false">(E85+4*F85+G85)/6</f>
        <v>0.541666666666667</v>
      </c>
    </row>
    <row r="86" customFormat="false" ht="15" hidden="false" customHeight="false" outlineLevel="0" collapsed="false">
      <c r="B86" s="12"/>
      <c r="C86" s="13" t="s">
        <v>250</v>
      </c>
      <c r="D86" s="13" t="s">
        <v>251</v>
      </c>
      <c r="E86" s="10" t="n">
        <v>0.25</v>
      </c>
      <c r="F86" s="10" t="n">
        <v>0.5</v>
      </c>
      <c r="G86" s="10" t="n">
        <v>1</v>
      </c>
      <c r="H86" s="10" t="n">
        <f aca="false">(E86+4*F86+G86)/6</f>
        <v>0.541666666666667</v>
      </c>
    </row>
    <row r="87" customFormat="false" ht="15" hidden="false" customHeight="false" outlineLevel="0" collapsed="false">
      <c r="B87" s="12"/>
      <c r="C87" s="13" t="s">
        <v>252</v>
      </c>
      <c r="D87" s="13" t="s">
        <v>253</v>
      </c>
      <c r="E87" s="10" t="n">
        <v>0.25</v>
      </c>
      <c r="F87" s="10" t="n">
        <v>0.5</v>
      </c>
      <c r="G87" s="10" t="n">
        <v>1</v>
      </c>
      <c r="H87" s="10" t="n">
        <f aca="false">(E87+4*F87+G87)/6</f>
        <v>0.541666666666667</v>
      </c>
    </row>
    <row r="88" customFormat="false" ht="15" hidden="false" customHeight="false" outlineLevel="0" collapsed="false">
      <c r="B88" s="12"/>
      <c r="C88" s="13" t="s">
        <v>254</v>
      </c>
      <c r="D88" s="13" t="s">
        <v>255</v>
      </c>
      <c r="E88" s="10" t="n">
        <v>0.25</v>
      </c>
      <c r="F88" s="10" t="n">
        <v>0.5</v>
      </c>
      <c r="G88" s="10" t="n">
        <v>1</v>
      </c>
      <c r="H88" s="10" t="n">
        <f aca="false">(E88+4*F88+G88)/6</f>
        <v>0.541666666666667</v>
      </c>
    </row>
    <row r="89" customFormat="false" ht="15" hidden="false" customHeight="false" outlineLevel="0" collapsed="false">
      <c r="B89" s="12"/>
      <c r="C89" s="13" t="s">
        <v>256</v>
      </c>
      <c r="D89" s="13" t="s">
        <v>257</v>
      </c>
      <c r="E89" s="10" t="n">
        <v>0.25</v>
      </c>
      <c r="F89" s="10" t="n">
        <v>0.5</v>
      </c>
      <c r="G89" s="10" t="n">
        <v>1</v>
      </c>
      <c r="H89" s="10" t="n">
        <f aca="false">(E89+4*F89+G89)/6</f>
        <v>0.541666666666667</v>
      </c>
    </row>
    <row r="90" customFormat="false" ht="15" hidden="false" customHeight="false" outlineLevel="0" collapsed="false">
      <c r="B90" s="12"/>
      <c r="C90" s="13" t="s">
        <v>258</v>
      </c>
      <c r="D90" s="13" t="s">
        <v>259</v>
      </c>
      <c r="E90" s="10" t="n">
        <v>0.25</v>
      </c>
      <c r="F90" s="10" t="n">
        <v>0.5</v>
      </c>
      <c r="G90" s="10" t="n">
        <v>1</v>
      </c>
      <c r="H90" s="10" t="n">
        <f aca="false">(E90+4*F90+G90)/6</f>
        <v>0.541666666666667</v>
      </c>
    </row>
    <row r="91" customFormat="false" ht="15" hidden="false" customHeight="false" outlineLevel="0" collapsed="false">
      <c r="B91" s="12"/>
      <c r="C91" s="13" t="s">
        <v>260</v>
      </c>
      <c r="D91" s="13" t="s">
        <v>261</v>
      </c>
      <c r="E91" s="10" t="n">
        <v>0.25</v>
      </c>
      <c r="F91" s="10" t="n">
        <v>0.5</v>
      </c>
      <c r="G91" s="10" t="n">
        <v>1</v>
      </c>
      <c r="H91" s="10" t="n">
        <f aca="false">(E91+4*F91+G91)/6</f>
        <v>0.541666666666667</v>
      </c>
    </row>
    <row r="92" customFormat="false" ht="15" hidden="false" customHeight="false" outlineLevel="0" collapsed="false">
      <c r="B92" s="12"/>
      <c r="C92" s="13" t="s">
        <v>262</v>
      </c>
      <c r="D92" s="13" t="s">
        <v>263</v>
      </c>
      <c r="E92" s="10" t="n">
        <v>0.25</v>
      </c>
      <c r="F92" s="10" t="n">
        <v>0.5</v>
      </c>
      <c r="G92" s="10" t="n">
        <v>1</v>
      </c>
      <c r="H92" s="10" t="n">
        <f aca="false">(E92+4*F92+G92)/6</f>
        <v>0.541666666666667</v>
      </c>
    </row>
    <row r="93" customFormat="false" ht="15" hidden="false" customHeight="false" outlineLevel="0" collapsed="false">
      <c r="B93" s="12"/>
      <c r="C93" s="13" t="s">
        <v>264</v>
      </c>
      <c r="D93" s="13" t="s">
        <v>265</v>
      </c>
      <c r="E93" s="10" t="n">
        <v>0.25</v>
      </c>
      <c r="F93" s="10" t="n">
        <v>0.5</v>
      </c>
      <c r="G93" s="10" t="n">
        <v>1</v>
      </c>
      <c r="H93" s="10" t="n">
        <f aca="false">(E93+4*F93+G93)/6</f>
        <v>0.541666666666667</v>
      </c>
    </row>
    <row r="94" customFormat="false" ht="15" hidden="false" customHeight="false" outlineLevel="0" collapsed="false">
      <c r="B94" s="12"/>
      <c r="C94" s="13" t="s">
        <v>266</v>
      </c>
      <c r="D94" s="13" t="s">
        <v>267</v>
      </c>
      <c r="E94" s="10" t="n">
        <v>0.25</v>
      </c>
      <c r="F94" s="10" t="n">
        <v>0.5</v>
      </c>
      <c r="G94" s="10" t="n">
        <v>1</v>
      </c>
      <c r="H94" s="10" t="n">
        <f aca="false">(E94+4*F94+G94)/6</f>
        <v>0.541666666666667</v>
      </c>
    </row>
    <row r="95" customFormat="false" ht="15" hidden="false" customHeight="false" outlineLevel="0" collapsed="false">
      <c r="B95" s="12"/>
      <c r="C95" s="13" t="s">
        <v>268</v>
      </c>
      <c r="D95" s="13" t="s">
        <v>269</v>
      </c>
      <c r="E95" s="10" t="n">
        <v>0.25</v>
      </c>
      <c r="F95" s="10" t="n">
        <v>0.5</v>
      </c>
      <c r="G95" s="10" t="n">
        <v>1</v>
      </c>
      <c r="H95" s="10" t="n">
        <f aca="false">(E95+4*F95+G95)/6</f>
        <v>0.541666666666667</v>
      </c>
    </row>
    <row r="96" customFormat="false" ht="15" hidden="false" customHeight="false" outlineLevel="0" collapsed="false">
      <c r="B96" s="12"/>
      <c r="C96" s="13" t="s">
        <v>270</v>
      </c>
      <c r="D96" s="13" t="s">
        <v>271</v>
      </c>
      <c r="E96" s="10" t="n">
        <v>0.25</v>
      </c>
      <c r="F96" s="10" t="n">
        <v>0.5</v>
      </c>
      <c r="G96" s="10" t="n">
        <v>1</v>
      </c>
      <c r="H96" s="10" t="n">
        <f aca="false">(E96+4*F96+G96)/6</f>
        <v>0.541666666666667</v>
      </c>
    </row>
    <row r="97" customFormat="false" ht="15" hidden="false" customHeight="false" outlineLevel="0" collapsed="false">
      <c r="B97" s="12"/>
      <c r="C97" s="13" t="s">
        <v>272</v>
      </c>
      <c r="D97" s="13" t="s">
        <v>273</v>
      </c>
      <c r="E97" s="10" t="n">
        <v>0.25</v>
      </c>
      <c r="F97" s="10" t="n">
        <v>0.5</v>
      </c>
      <c r="G97" s="10" t="n">
        <v>1</v>
      </c>
      <c r="H97" s="10" t="n">
        <f aca="false">(E97+4*F97+G97)/6</f>
        <v>0.541666666666667</v>
      </c>
    </row>
    <row r="98" customFormat="false" ht="15" hidden="false" customHeight="false" outlineLevel="0" collapsed="false">
      <c r="B98" s="12"/>
      <c r="C98" s="13" t="s">
        <v>274</v>
      </c>
      <c r="D98" s="13" t="s">
        <v>275</v>
      </c>
      <c r="E98" s="10" t="n">
        <v>0.25</v>
      </c>
      <c r="F98" s="10" t="n">
        <v>0.5</v>
      </c>
      <c r="G98" s="10" t="n">
        <v>1</v>
      </c>
      <c r="H98" s="10" t="n">
        <f aca="false">(E98+4*F98+G98)/6</f>
        <v>0.541666666666667</v>
      </c>
    </row>
    <row r="99" customFormat="false" ht="15" hidden="false" customHeight="false" outlineLevel="0" collapsed="false">
      <c r="B99" s="12"/>
      <c r="C99" s="13" t="s">
        <v>276</v>
      </c>
      <c r="D99" s="13" t="s">
        <v>277</v>
      </c>
      <c r="E99" s="10" t="n">
        <v>0.25</v>
      </c>
      <c r="F99" s="10" t="n">
        <v>0.5</v>
      </c>
      <c r="G99" s="10" t="n">
        <v>1</v>
      </c>
      <c r="H99" s="10" t="n">
        <f aca="false">(E99+4*F99+G99)/6</f>
        <v>0.541666666666667</v>
      </c>
    </row>
    <row r="100" customFormat="false" ht="15" hidden="false" customHeight="false" outlineLevel="0" collapsed="false">
      <c r="B100" s="12"/>
      <c r="C100" s="13" t="s">
        <v>278</v>
      </c>
      <c r="D100" s="13" t="s">
        <v>279</v>
      </c>
      <c r="E100" s="10" t="n">
        <v>0.25</v>
      </c>
      <c r="F100" s="10" t="n">
        <v>0.5</v>
      </c>
      <c r="G100" s="10" t="n">
        <v>1</v>
      </c>
      <c r="H100" s="10" t="n">
        <f aca="false">(E100+4*F100+G100)/6</f>
        <v>0.541666666666667</v>
      </c>
    </row>
    <row r="101" customFormat="false" ht="15" hidden="false" customHeight="false" outlineLevel="0" collapsed="false">
      <c r="B101" s="12"/>
      <c r="C101" s="13" t="s">
        <v>280</v>
      </c>
      <c r="D101" s="13" t="s">
        <v>281</v>
      </c>
      <c r="E101" s="10" t="n">
        <v>0.25</v>
      </c>
      <c r="F101" s="10" t="n">
        <v>0.5</v>
      </c>
      <c r="G101" s="10" t="n">
        <v>1</v>
      </c>
      <c r="H101" s="10" t="n">
        <f aca="false">(E101+4*F101+G101)/6</f>
        <v>0.541666666666667</v>
      </c>
    </row>
    <row r="102" customFormat="false" ht="15" hidden="false" customHeight="false" outlineLevel="0" collapsed="false">
      <c r="B102" s="12"/>
      <c r="C102" s="13" t="s">
        <v>282</v>
      </c>
      <c r="D102" s="13" t="s">
        <v>283</v>
      </c>
      <c r="E102" s="10" t="n">
        <v>0.25</v>
      </c>
      <c r="F102" s="10" t="n">
        <v>0.5</v>
      </c>
      <c r="G102" s="10" t="n">
        <v>1</v>
      </c>
      <c r="H102" s="10" t="n">
        <f aca="false">(E102+4*F102+G102)/6</f>
        <v>0.541666666666667</v>
      </c>
    </row>
    <row r="103" customFormat="false" ht="15" hidden="false" customHeight="true" outlineLevel="0" collapsed="false">
      <c r="B103" s="12" t="s">
        <v>284</v>
      </c>
      <c r="C103" s="13" t="s">
        <v>285</v>
      </c>
      <c r="D103" s="13" t="s">
        <v>286</v>
      </c>
      <c r="E103" s="10" t="n">
        <v>2</v>
      </c>
      <c r="F103" s="10" t="n">
        <v>3</v>
      </c>
      <c r="G103" s="10" t="n">
        <v>5</v>
      </c>
      <c r="H103" s="10" t="n">
        <f aca="false">(E103+4*F103+G103)/6</f>
        <v>3.16666666666667</v>
      </c>
    </row>
    <row r="104" customFormat="false" ht="15" hidden="false" customHeight="false" outlineLevel="0" collapsed="false">
      <c r="B104" s="12"/>
      <c r="C104" s="13" t="s">
        <v>287</v>
      </c>
      <c r="D104" s="13" t="s">
        <v>288</v>
      </c>
      <c r="E104" s="10" t="n">
        <v>2</v>
      </c>
      <c r="F104" s="10" t="n">
        <v>3</v>
      </c>
      <c r="G104" s="10" t="n">
        <v>5</v>
      </c>
      <c r="H104" s="10" t="n">
        <f aca="false">(E104+4*F104+G104)/6</f>
        <v>3.16666666666667</v>
      </c>
    </row>
    <row r="105" customFormat="false" ht="15" hidden="false" customHeight="false" outlineLevel="0" collapsed="false">
      <c r="B105" s="12"/>
      <c r="C105" s="13" t="s">
        <v>289</v>
      </c>
      <c r="D105" s="13" t="s">
        <v>290</v>
      </c>
      <c r="E105" s="10" t="n">
        <v>2</v>
      </c>
      <c r="F105" s="10" t="n">
        <v>3</v>
      </c>
      <c r="G105" s="10" t="n">
        <v>5</v>
      </c>
      <c r="H105" s="10" t="n">
        <f aca="false">(E105+4*F105+G105)/6</f>
        <v>3.16666666666667</v>
      </c>
    </row>
    <row r="106" customFormat="false" ht="15" hidden="false" customHeight="false" outlineLevel="0" collapsed="false">
      <c r="B106" s="12"/>
      <c r="C106" s="13" t="s">
        <v>291</v>
      </c>
      <c r="D106" s="13" t="s">
        <v>292</v>
      </c>
      <c r="E106" s="10" t="n">
        <v>2</v>
      </c>
      <c r="F106" s="10" t="n">
        <v>3</v>
      </c>
      <c r="G106" s="10" t="n">
        <v>5</v>
      </c>
      <c r="H106" s="10" t="n">
        <f aca="false">(E106+4*F106+G106)/6</f>
        <v>3.16666666666667</v>
      </c>
    </row>
    <row r="107" customFormat="false" ht="15" hidden="false" customHeight="false" outlineLevel="0" collapsed="false">
      <c r="B107" s="12"/>
      <c r="C107" s="13" t="s">
        <v>293</v>
      </c>
      <c r="D107" s="13" t="s">
        <v>294</v>
      </c>
      <c r="E107" s="10" t="n">
        <v>2</v>
      </c>
      <c r="F107" s="10" t="n">
        <v>3</v>
      </c>
      <c r="G107" s="10" t="n">
        <v>5</v>
      </c>
      <c r="H107" s="10" t="n">
        <f aca="false">(E107+4*F107+G107)/6</f>
        <v>3.16666666666667</v>
      </c>
    </row>
    <row r="108" customFormat="false" ht="15" hidden="false" customHeight="true" outlineLevel="0" collapsed="false">
      <c r="B108" s="12" t="s">
        <v>295</v>
      </c>
      <c r="C108" s="13" t="s">
        <v>296</v>
      </c>
      <c r="D108" s="13" t="s">
        <v>297</v>
      </c>
      <c r="E108" s="10" t="n">
        <v>0.25</v>
      </c>
      <c r="F108" s="10" t="n">
        <v>0.5</v>
      </c>
      <c r="G108" s="10" t="n">
        <v>1</v>
      </c>
      <c r="H108" s="10" t="n">
        <f aca="false">(E108+4*F108+G108)/6</f>
        <v>0.541666666666667</v>
      </c>
    </row>
    <row r="109" customFormat="false" ht="15" hidden="false" customHeight="false" outlineLevel="0" collapsed="false">
      <c r="B109" s="12"/>
      <c r="C109" s="13" t="s">
        <v>298</v>
      </c>
      <c r="D109" s="13" t="s">
        <v>299</v>
      </c>
      <c r="E109" s="10" t="n">
        <v>0.25</v>
      </c>
      <c r="F109" s="10" t="n">
        <v>0.5</v>
      </c>
      <c r="G109" s="10" t="n">
        <v>1</v>
      </c>
      <c r="H109" s="10" t="n">
        <f aca="false">(E109+4*F109+G109)/6</f>
        <v>0.541666666666667</v>
      </c>
    </row>
    <row r="110" customFormat="false" ht="15" hidden="false" customHeight="false" outlineLevel="0" collapsed="false">
      <c r="B110" s="12"/>
      <c r="C110" s="13" t="s">
        <v>300</v>
      </c>
      <c r="D110" s="13" t="s">
        <v>301</v>
      </c>
      <c r="E110" s="10" t="n">
        <v>0.25</v>
      </c>
      <c r="F110" s="10" t="n">
        <v>0.5</v>
      </c>
      <c r="G110" s="10" t="n">
        <v>1</v>
      </c>
      <c r="H110" s="10" t="n">
        <f aca="false">(E110+4*F110+G110)/6</f>
        <v>0.541666666666667</v>
      </c>
    </row>
    <row r="111" customFormat="false" ht="15" hidden="false" customHeight="false" outlineLevel="0" collapsed="false">
      <c r="B111" s="12"/>
      <c r="C111" s="13" t="s">
        <v>302</v>
      </c>
      <c r="D111" s="13" t="s">
        <v>303</v>
      </c>
      <c r="E111" s="10" t="n">
        <v>0.25</v>
      </c>
      <c r="F111" s="10" t="n">
        <v>0.5</v>
      </c>
      <c r="G111" s="10" t="n">
        <v>1</v>
      </c>
      <c r="H111" s="10" t="n">
        <f aca="false">(E111+4*F111+G111)/6</f>
        <v>0.541666666666667</v>
      </c>
    </row>
    <row r="112" customFormat="false" ht="15" hidden="false" customHeight="false" outlineLevel="0" collapsed="false">
      <c r="B112" s="12"/>
      <c r="C112" s="13" t="s">
        <v>304</v>
      </c>
      <c r="D112" s="13" t="s">
        <v>305</v>
      </c>
      <c r="E112" s="10" t="n">
        <v>0.25</v>
      </c>
      <c r="F112" s="10" t="n">
        <v>0.5</v>
      </c>
      <c r="G112" s="10" t="n">
        <v>1</v>
      </c>
      <c r="H112" s="10" t="n">
        <f aca="false">(E112+4*F112+G112)/6</f>
        <v>0.541666666666667</v>
      </c>
    </row>
    <row r="113" customFormat="false" ht="15" hidden="false" customHeight="false" outlineLevel="0" collapsed="false">
      <c r="B113" s="12"/>
      <c r="C113" s="13" t="s">
        <v>306</v>
      </c>
      <c r="D113" s="13" t="s">
        <v>307</v>
      </c>
      <c r="E113" s="10" t="n">
        <v>0.25</v>
      </c>
      <c r="F113" s="10" t="n">
        <v>0.5</v>
      </c>
      <c r="G113" s="10" t="n">
        <v>1</v>
      </c>
      <c r="H113" s="10" t="n">
        <f aca="false">(E113+4*F113+G113)/6</f>
        <v>0.541666666666667</v>
      </c>
    </row>
    <row r="114" customFormat="false" ht="15" hidden="false" customHeight="false" outlineLevel="0" collapsed="false">
      <c r="B114" s="12"/>
      <c r="C114" s="13" t="s">
        <v>308</v>
      </c>
      <c r="D114" s="13" t="s">
        <v>309</v>
      </c>
      <c r="E114" s="10" t="n">
        <v>0.25</v>
      </c>
      <c r="F114" s="10" t="n">
        <v>0.5</v>
      </c>
      <c r="G114" s="10" t="n">
        <v>1</v>
      </c>
      <c r="H114" s="10" t="n">
        <f aca="false">(E114+4*F114+G114)/6</f>
        <v>0.541666666666667</v>
      </c>
    </row>
    <row r="115" customFormat="false" ht="15" hidden="false" customHeight="false" outlineLevel="0" collapsed="false">
      <c r="H115" s="10" t="n">
        <f aca="false">SUM(H2:H114)</f>
        <v>116.041666666667</v>
      </c>
    </row>
    <row r="116" customFormat="false" ht="15" hidden="false" customHeight="false" outlineLevel="0" collapsed="false">
      <c r="G116" s="10" t="s">
        <v>310</v>
      </c>
      <c r="H116" s="10" t="n">
        <v>117</v>
      </c>
    </row>
    <row r="117" customFormat="false" ht="15" hidden="false" customHeight="false" outlineLevel="0" collapsed="false">
      <c r="G117" s="10" t="s">
        <v>311</v>
      </c>
      <c r="H117" s="10" t="n">
        <f aca="false">H116*1.1</f>
        <v>128.7</v>
      </c>
    </row>
  </sheetData>
  <mergeCells count="16">
    <mergeCell ref="B2:B7"/>
    <mergeCell ref="B8:B14"/>
    <mergeCell ref="B15:B21"/>
    <mergeCell ref="B22:B28"/>
    <mergeCell ref="B29:B36"/>
    <mergeCell ref="B37:B42"/>
    <mergeCell ref="B43:B48"/>
    <mergeCell ref="B49:B52"/>
    <mergeCell ref="B53:B57"/>
    <mergeCell ref="B58:B62"/>
    <mergeCell ref="B63:B67"/>
    <mergeCell ref="B68:B74"/>
    <mergeCell ref="B75:B78"/>
    <mergeCell ref="B79:B102"/>
    <mergeCell ref="B103:B107"/>
    <mergeCell ref="B108:B1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D17" activeCellId="0" sqref="D17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2" min="2" style="10" width="22.07"/>
    <col collapsed="false" customWidth="true" hidden="false" outlineLevel="0" max="3" min="3" style="10" width="31.98"/>
    <col collapsed="false" customWidth="true" hidden="false" outlineLevel="0" max="4" min="4" style="10" width="17.05"/>
    <col collapsed="false" customWidth="true" hidden="false" outlineLevel="0" max="5" min="5" style="10" width="14.7"/>
  </cols>
  <sheetData>
    <row r="1" customFormat="false" ht="13.8" hidden="false" customHeight="false" outlineLevel="0" collapsed="false">
      <c r="A1" s="1"/>
      <c r="B1" s="2"/>
      <c r="C1" s="2"/>
      <c r="D1" s="2"/>
      <c r="E1" s="2"/>
      <c r="F1" s="1"/>
      <c r="G1" s="1"/>
    </row>
    <row r="2" customFormat="false" ht="13.8" hidden="false" customHeight="false" outlineLevel="0" collapsed="false">
      <c r="A2" s="1"/>
      <c r="B2" s="2"/>
      <c r="C2" s="2"/>
      <c r="D2" s="2" t="s">
        <v>312</v>
      </c>
      <c r="E2" s="2"/>
      <c r="F2" s="1"/>
      <c r="G2" s="1"/>
    </row>
    <row r="3" customFormat="false" ht="13.8" hidden="false" customHeight="false" outlineLevel="0" collapsed="false">
      <c r="A3" s="1"/>
      <c r="B3" s="15" t="s">
        <v>313</v>
      </c>
      <c r="C3" s="2"/>
      <c r="D3" s="16" t="n">
        <f aca="false">CapEx!J44</f>
        <v>1672715.625</v>
      </c>
      <c r="E3" s="2"/>
      <c r="F3" s="1"/>
      <c r="G3" s="1"/>
    </row>
    <row r="4" customFormat="false" ht="13.8" hidden="false" customHeight="false" outlineLevel="0" collapsed="false">
      <c r="A4" s="1"/>
      <c r="B4" s="2"/>
      <c r="C4" s="2"/>
      <c r="D4" s="2"/>
      <c r="E4" s="2"/>
      <c r="F4" s="1"/>
      <c r="G4" s="1"/>
    </row>
    <row r="5" customFormat="false" ht="16.25" hidden="false" customHeight="false" outlineLevel="0" collapsed="false">
      <c r="A5" s="1"/>
      <c r="B5" s="15" t="s">
        <v>314</v>
      </c>
      <c r="C5" s="2"/>
      <c r="D5" s="17" t="s">
        <v>315</v>
      </c>
      <c r="E5" s="17" t="s">
        <v>316</v>
      </c>
      <c r="F5" s="1"/>
      <c r="G5" s="1"/>
    </row>
    <row r="6" customFormat="false" ht="13.8" hidden="false" customHeight="false" outlineLevel="0" collapsed="false">
      <c r="A6" s="1"/>
      <c r="B6" s="17"/>
      <c r="C6" s="2" t="s">
        <v>317</v>
      </c>
      <c r="D6" s="18" t="n">
        <v>5000</v>
      </c>
      <c r="E6" s="16" t="n">
        <f aca="false">D6*12</f>
        <v>60000</v>
      </c>
      <c r="F6" s="1"/>
      <c r="G6" s="1"/>
    </row>
    <row r="7" customFormat="false" ht="13.8" hidden="false" customHeight="false" outlineLevel="0" collapsed="false">
      <c r="A7" s="1"/>
      <c r="B7" s="17"/>
      <c r="C7" s="2" t="s">
        <v>318</v>
      </c>
      <c r="D7" s="17"/>
      <c r="E7" s="16" t="n">
        <f aca="false">D3*20%</f>
        <v>334543.125</v>
      </c>
      <c r="F7" s="1"/>
      <c r="G7" s="1"/>
    </row>
    <row r="8" customFormat="false" ht="13.8" hidden="false" customHeight="false" outlineLevel="0" collapsed="false">
      <c r="A8" s="1"/>
      <c r="B8" s="17"/>
      <c r="C8" s="17"/>
      <c r="D8" s="17"/>
      <c r="E8" s="17"/>
      <c r="F8" s="1"/>
      <c r="G8" s="1"/>
    </row>
    <row r="9" customFormat="false" ht="13.8" hidden="false" customHeight="false" outlineLevel="0" collapsed="false">
      <c r="A9" s="1"/>
      <c r="B9" s="15" t="s">
        <v>319</v>
      </c>
      <c r="C9" s="17"/>
      <c r="D9" s="2" t="s">
        <v>320</v>
      </c>
      <c r="E9" s="2" t="s">
        <v>321</v>
      </c>
      <c r="F9" s="1"/>
      <c r="G9" s="1"/>
    </row>
    <row r="10" customFormat="false" ht="13.8" hidden="false" customHeight="false" outlineLevel="0" collapsed="false">
      <c r="A10" s="1"/>
      <c r="B10" s="17"/>
      <c r="C10" s="2" t="s">
        <v>322</v>
      </c>
      <c r="D10" s="16" t="n">
        <f aca="false">D3+E6</f>
        <v>1732715.625</v>
      </c>
      <c r="E10" s="16" t="n">
        <f aca="false">E6+E7</f>
        <v>394543.125</v>
      </c>
      <c r="F10" s="1"/>
      <c r="G10" s="1"/>
    </row>
    <row r="11" customFormat="false" ht="13.8" hidden="false" customHeight="false" outlineLevel="0" collapsed="false">
      <c r="A11" s="1"/>
      <c r="B11" s="17"/>
      <c r="C11" s="17"/>
      <c r="D11" s="17"/>
      <c r="E11" s="17"/>
      <c r="F11" s="1"/>
      <c r="G11" s="1"/>
    </row>
    <row r="12" customFormat="false" ht="13.8" hidden="false" customHeight="false" outlineLevel="0" collapsed="false">
      <c r="A12" s="1"/>
      <c r="B12" s="15" t="s">
        <v>323</v>
      </c>
      <c r="C12" s="18" t="n">
        <v>492000</v>
      </c>
      <c r="D12" s="17"/>
      <c r="E12" s="17"/>
      <c r="F12" s="1"/>
      <c r="G12" s="1"/>
    </row>
    <row r="13" customFormat="false" ht="13.8" hidden="false" customHeight="false" outlineLevel="0" collapsed="false">
      <c r="A13" s="1"/>
      <c r="B13" s="17"/>
      <c r="C13" s="17"/>
      <c r="D13" s="17"/>
      <c r="E13" s="17"/>
      <c r="F13" s="1"/>
      <c r="G13" s="1"/>
    </row>
    <row r="14" customFormat="false" ht="13.8" hidden="false" customHeight="false" outlineLevel="0" collapsed="false">
      <c r="A14" s="1"/>
      <c r="B14" s="15" t="s">
        <v>324</v>
      </c>
      <c r="C14" s="18" t="n">
        <f aca="false">C12-E10</f>
        <v>97456.8749999999</v>
      </c>
      <c r="D14" s="17"/>
      <c r="E14" s="17"/>
      <c r="F14" s="1"/>
      <c r="G14" s="1"/>
    </row>
    <row r="15" customFormat="false" ht="13.8" hidden="false" customHeight="false" outlineLevel="0" collapsed="false">
      <c r="A15" s="1"/>
      <c r="B15" s="17"/>
      <c r="C15" s="17"/>
      <c r="D15" s="17"/>
      <c r="E15" s="17"/>
      <c r="F15" s="1"/>
      <c r="G15" s="1"/>
    </row>
    <row r="16" customFormat="false" ht="13.8" hidden="false" customHeight="false" outlineLevel="0" collapsed="false">
      <c r="A16" s="1"/>
      <c r="B16" s="15" t="s">
        <v>325</v>
      </c>
      <c r="C16" s="2" t="s">
        <v>324</v>
      </c>
      <c r="D16" s="2" t="s">
        <v>320</v>
      </c>
      <c r="E16" s="2" t="s">
        <v>321</v>
      </c>
      <c r="F16" s="1"/>
      <c r="G16" s="1"/>
    </row>
    <row r="17" customFormat="false" ht="13.8" hidden="false" customHeight="false" outlineLevel="0" collapsed="false">
      <c r="A17" s="1"/>
      <c r="B17" s="17"/>
      <c r="C17" s="17"/>
      <c r="D17" s="16" t="n">
        <f aca="false">C12-D10</f>
        <v>-1240715.625</v>
      </c>
      <c r="E17" s="16" t="n">
        <f aca="false">C12-E10</f>
        <v>97456.8749999999</v>
      </c>
      <c r="F17" s="1"/>
      <c r="G17" s="1"/>
    </row>
    <row r="18" customFormat="false" ht="13.8" hidden="false" customHeight="false" outlineLevel="0" collapsed="false">
      <c r="A18" s="1"/>
      <c r="B18" s="17"/>
      <c r="C18" s="17"/>
      <c r="D18" s="17"/>
      <c r="E18" s="17"/>
      <c r="F18" s="1"/>
      <c r="G18" s="1"/>
    </row>
    <row r="19" customFormat="false" ht="13.8" hidden="false" customHeight="false" outlineLevel="0" collapsed="false">
      <c r="A19" s="1"/>
      <c r="B19" s="15" t="s">
        <v>326</v>
      </c>
      <c r="C19" s="2" t="s">
        <v>327</v>
      </c>
      <c r="D19" s="2" t="s">
        <v>328</v>
      </c>
      <c r="E19" s="17"/>
      <c r="F19" s="1"/>
      <c r="G19" s="1"/>
    </row>
    <row r="20" customFormat="false" ht="13.8" hidden="false" customHeight="false" outlineLevel="0" collapsed="false">
      <c r="A20" s="1"/>
      <c r="B20" s="17"/>
      <c r="C20" s="19" t="n">
        <f aca="false">D3/E17</f>
        <v>17.163649306424</v>
      </c>
      <c r="D20" s="20" t="n">
        <f aca="false">C20*12</f>
        <v>205.963791677088</v>
      </c>
      <c r="E20" s="17"/>
      <c r="F20" s="1"/>
      <c r="G20" s="1"/>
    </row>
    <row r="21" customFormat="false" ht="13.8" hidden="false" customHeight="false" outlineLevel="0" collapsed="false">
      <c r="A21" s="1"/>
      <c r="B21" s="17"/>
      <c r="C21" s="17"/>
      <c r="D21" s="17"/>
      <c r="E21" s="17"/>
      <c r="F21" s="1"/>
      <c r="G21" s="1"/>
    </row>
    <row r="22" customFormat="false" ht="13.8" hidden="false" customHeight="false" outlineLevel="0" collapsed="false">
      <c r="A22" s="1"/>
      <c r="B22" s="17"/>
      <c r="C22" s="17"/>
      <c r="D22" s="17"/>
      <c r="E22" s="17"/>
      <c r="F22" s="1"/>
      <c r="G22" s="1"/>
    </row>
    <row r="23" customFormat="false" ht="13.8" hidden="false" customHeight="false" outlineLevel="0" collapsed="false">
      <c r="A23" s="1"/>
      <c r="B23" s="17"/>
      <c r="C23" s="17"/>
      <c r="D23" s="17"/>
      <c r="E23" s="17"/>
      <c r="F23" s="1"/>
      <c r="G23" s="1"/>
    </row>
    <row r="24" customFormat="false" ht="13.8" hidden="false" customHeight="false" outlineLevel="0" collapsed="false">
      <c r="A24" s="1"/>
      <c r="B24" s="17"/>
      <c r="C24" s="17"/>
      <c r="D24" s="17"/>
      <c r="E24" s="17"/>
      <c r="F24" s="1"/>
      <c r="G24" s="1"/>
    </row>
    <row r="25" customFormat="false" ht="13.8" hidden="false" customHeight="false" outlineLevel="0" collapsed="false">
      <c r="A25" s="1"/>
      <c r="B25" s="17"/>
      <c r="C25" s="17"/>
      <c r="D25" s="17"/>
      <c r="E25" s="17"/>
      <c r="F25" s="1"/>
      <c r="G25" s="1"/>
    </row>
    <row r="26" customFormat="false" ht="13.8" hidden="false" customHeight="false" outlineLevel="0" collapsed="false">
      <c r="A26" s="1"/>
      <c r="B26" s="17"/>
      <c r="C26" s="17"/>
      <c r="D26" s="17"/>
      <c r="E26" s="17"/>
      <c r="F26" s="1"/>
      <c r="G26" s="1"/>
    </row>
    <row r="27" customFormat="false" ht="13.8" hidden="false" customHeight="false" outlineLevel="0" collapsed="false">
      <c r="A27" s="1"/>
      <c r="B27" s="17"/>
      <c r="C27" s="17"/>
      <c r="D27" s="17"/>
      <c r="E27" s="17"/>
      <c r="F27" s="1"/>
      <c r="G27" s="1"/>
    </row>
    <row r="28" customFormat="false" ht="13.8" hidden="false" customHeight="false" outlineLevel="0" collapsed="false">
      <c r="A28" s="1"/>
      <c r="B28" s="17"/>
      <c r="C28" s="17"/>
      <c r="D28" s="17"/>
      <c r="E28" s="17"/>
      <c r="F28" s="1"/>
      <c r="G2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2026-05-12T16:48:15Z</dcterms:created>
  <dc:creator>masum.ahmed</dc:creator>
  <dc:description/>
  <dc:language>en-US</dc:language>
  <cp:lastModifiedBy/>
  <dcterms:modified xsi:type="dcterms:W3CDTF">2026-05-17T17:24:11Z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